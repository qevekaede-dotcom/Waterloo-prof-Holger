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kaede/research/Waterloo Holger thermoelectric materials/submission_to_roy/READY_TO_ATTACH/"/>
    </mc:Choice>
  </mc:AlternateContent>
  <xr:revisionPtr revIDLastSave="0" documentId="8_{F5DDF86A-FB35-E14D-AD35-6DB2446C74E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harts" sheetId="1" r:id="rId1"/>
    <sheet name="Notes" sheetId="2" r:id="rId2"/>
    <sheet name="Transport_Data" sheetId="3" r:id="rId3"/>
    <sheet name="PF_over_tau" sheetId="4" r:id="rId4"/>
    <sheet name="Convergence" sheetId="5" r:id="rId5"/>
  </sheets>
  <definedNames>
    <definedName name="_xlnm._FilterDatabase" localSheetId="2" hidden="1">Transport_Data!$A$5:$M$103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4" l="1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</calcChain>
</file>

<file path=xl/sharedStrings.xml><?xml version="1.0" encoding="utf-8"?>
<sst xmlns="http://schemas.openxmlformats.org/spreadsheetml/2006/main" count="194" uniqueCount="80">
  <si>
    <t>SrCu2SnS4 calculation plots</t>
  </si>
  <si>
    <t>PF/tau is shown because no relaxation time was assumed. The transport points are the best values within the sampled carrier-density grid; they are not continuous optima.</t>
  </si>
  <si>
    <t>My first SrCu2SnS4 calculation</t>
  </si>
  <si>
    <t>I started with the experimentally observed Materials Project structure mp-16988. I first checked the plane-wave cutoff and k-point mesh, then relaxed the structure, ran SCF and dense NSCF calculations, and used the eigenvalues in BoltzTraP2.</t>
  </si>
  <si>
    <t>What I used</t>
  </si>
  <si>
    <t>Item</t>
  </si>
  <si>
    <t>My setting / note</t>
  </si>
  <si>
    <t>Structure</t>
  </si>
  <si>
    <t>Materials Project mp-16988; experimentally observed; ICSD-356</t>
  </si>
  <si>
    <t>DFT setup</t>
  </si>
  <si>
    <t>PBE, scalar-relativistic pseudopotentials; SOC not included</t>
  </si>
  <si>
    <t>Cutoffs</t>
  </si>
  <si>
    <t>ecutwfc = 90 Ry; ecutrho = 720 Ry</t>
  </si>
  <si>
    <t>Relaxation</t>
  </si>
  <si>
    <t>vc-relax with 4x4x2 k-point mesh</t>
  </si>
  <si>
    <t>Final SCF</t>
  </si>
  <si>
    <t>5x5x3 k-point mesh</t>
  </si>
  <si>
    <t>Dense NSCF</t>
  </si>
  <si>
    <t>12x12x6 mesh; 100 irreducible k points; 140 bands</t>
  </si>
  <si>
    <t>BoltzTraP2</t>
  </si>
  <si>
    <t>300-900 K; n-type and p-type; 1e19 to 1e21 cm^-3</t>
  </si>
  <si>
    <t>What I found</t>
  </si>
  <si>
    <t>Result</t>
  </si>
  <si>
    <t>My observation</t>
  </si>
  <si>
    <t>Relaxed symmetry</t>
  </si>
  <si>
    <t>P3_121 (No. 152) from symmetry analysis</t>
  </si>
  <si>
    <t>Cell volume</t>
  </si>
  <si>
    <t>543.884 to 546.507 A^3 (+0.48%)</t>
  </si>
  <si>
    <t>PBE gap estimate</t>
  </si>
  <si>
    <t>0.3445 eV indirect gap on the dense k-point grid</t>
  </si>
  <si>
    <t>Transport trend</t>
  </si>
  <si>
    <t>Under the same constant-tau assumption, sampled p-type PF/tau is generally larger</t>
  </si>
  <si>
    <t>Example</t>
  </si>
  <si>
    <t>At 300 K: p-type, about 1e20 cm^-3, S = 157.2 uV/K</t>
  </si>
  <si>
    <t>What is not finished</t>
  </si>
  <si>
    <t>BoltzTraP2 gives sigma/tau and electronic kappa/tau. I have not reported the electronic-only value as the final zT. Absolute conductivity still needs a relaxation time, and full zT also needs lattice thermal conductivity. The p-type comparison is conditional on using the same constant-tau assumption for both carrier types.</t>
  </si>
  <si>
    <t>Structure source</t>
  </si>
  <si>
    <t>https://materialsproject.org/materials/mp-16988</t>
  </si>
  <si>
    <t>BoltzTraP2 processed transport data</t>
  </si>
  <si>
    <t>Scalar trace output under the constant-relaxation-time approximation. PF/tau is calculated in this workbook as (S x 1e-6)^2 x sigma/tau. No electronic-only zT column is included because it is not the full zT.</t>
  </si>
  <si>
    <t>Temperature (K)</t>
  </si>
  <si>
    <t>Carrier type</t>
  </si>
  <si>
    <t>Carrier density (cm^-3)</t>
  </si>
  <si>
    <t>Signed density (cm^-3)</t>
  </si>
  <si>
    <t>Chemical potential (Ry)</t>
  </si>
  <si>
    <t>Seebeck S (uV/K)</t>
  </si>
  <si>
    <t>sigma/tau (ohm^-1 m^-1 s^-1)</t>
  </si>
  <si>
    <t>kappa_e/tau (W m^-1 K^-1 s^-1)</t>
  </si>
  <si>
    <t>PF/tau (W m^-1 K^-2 s^-1)</t>
  </si>
  <si>
    <t>Hall coefficient (m^3/C)</t>
  </si>
  <si>
    <t>Smoothed DOS (Ha^-1 uc^-1)</t>
  </si>
  <si>
    <t>Cv (J mol^-1 K^-1)</t>
  </si>
  <si>
    <t>chi (m^3 mol^-1)</t>
  </si>
  <si>
    <t>n</t>
  </si>
  <si>
    <t>p</t>
  </si>
  <si>
    <t>Best sampled PF/tau values</t>
  </si>
  <si>
    <t>These are the best points within the discrete carrier-density grid, not a continuous optimum. PF/tau is used because no relaxation time has been assumed. The p/n comparison assumes the same tau.</t>
  </si>
  <si>
    <t>Type</t>
  </si>
  <si>
    <t>Density (cm^-3)</t>
  </si>
  <si>
    <t>S (uV/K)</t>
  </si>
  <si>
    <t>sigma/tau</t>
  </si>
  <si>
    <t>kappa_e/tau</t>
  </si>
  <si>
    <t>n-type PF/tau</t>
  </si>
  <si>
    <t>p-type PF/tau</t>
  </si>
  <si>
    <t>Convergence checks</t>
  </si>
  <si>
    <t>Plane-wave cutoff</t>
  </si>
  <si>
    <t>ecutwfc (Ry)</t>
  </si>
  <si>
    <t>ecutrho (Ry)</t>
  </si>
  <si>
    <t>Energy (Ry)</t>
  </si>
  <si>
    <t>Delta vs 100 Ry (meV/atom)</t>
  </si>
  <si>
    <t>Pressure (kbar)</t>
  </si>
  <si>
    <t>K-point mesh</t>
  </si>
  <si>
    <t>Mesh</t>
  </si>
  <si>
    <t>Full k points</t>
  </si>
  <si>
    <t>Irreducible k points</t>
  </si>
  <si>
    <t>Delta vs 5x5x3 (meV/atom)</t>
  </si>
  <si>
    <t>2x2x1</t>
  </si>
  <si>
    <t>3x3x2</t>
  </si>
  <si>
    <t>4x4x2</t>
  </si>
  <si>
    <t>5x5x3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</si>
</sst>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E+00"/>
    <numFmt numFmtId="177" formatCode="0.0"/>
    <numFmt numFmtId="178" formatCode="0.00000000"/>
    <numFmt numFmtId="179" formatCode="0.000"/>
  </numFmts>
  <fonts count="8">
    <font>
      <sz val="11"/>
      <color theme="1"/>
      <name val="宋体"/>
      <family val="2"/>
      <scheme val="minor"/>
    </font>
    <font>
      <b/>
      <sz val="17"/>
      <color rgb="FFFFFFFF"/>
      <name val="Calibri"/>
      <family val="2"/>
    </font>
    <font>
      <sz val="10"/>
      <color rgb="FF24313D"/>
      <name val="Calibri"/>
      <family val="2"/>
    </font>
    <font>
      <b/>
      <sz val="11"/>
      <color rgb="FF17324D"/>
      <name val="Calibri"/>
      <family val="2"/>
    </font>
    <font>
      <b/>
      <sz val="10"/>
      <color rgb="FFFFFFFF"/>
      <name val="Calibri"/>
      <family val="2"/>
    </font>
    <font>
      <b/>
      <sz val="11"/>
      <color rgb="FF24313D"/>
      <name val="宋体"/>
      <family val="3"/>
      <charset val="134"/>
    </font>
    <font>
      <sz val="12"/>
      <color theme="10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3F5F7"/>
      </patternFill>
    </fill>
    <fill>
      <patternFill patternType="solid">
        <fgColor rgb="FFEAF3F3"/>
      </patternFill>
    </fill>
    <fill>
      <patternFill patternType="solid">
        <fgColor rgb="FFFFF4E5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47D80"/>
      </bottom>
      <diagonal/>
    </border>
    <border>
      <left style="medium">
        <color rgb="FFD8892B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wrapText="1"/>
    </xf>
    <xf numFmtId="0" fontId="6" fillId="0" borderId="0" xfId="1"/>
    <xf numFmtId="1" fontId="0" fillId="0" borderId="0" xfId="0" applyNumberFormat="1"/>
    <xf numFmtId="176" fontId="0" fillId="0" borderId="0" xfId="0" applyNumberFormat="1"/>
    <xf numFmtId="177" fontId="0" fillId="0" borderId="0" xfId="0" applyNumberFormat="1"/>
    <xf numFmtId="11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0" fillId="3" borderId="0" xfId="0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5" borderId="2" xfId="0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center"/>
    </xf>
    <xf numFmtId="0" fontId="0" fillId="3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2">
    <cellStyle name="常规" xfId="0" builtinId="0"/>
    <cellStyle name="超链接" xfId="1" builtinId="8"/>
  </cellStyles>
  <dxfs count="1">
    <dxf>
      <fill>
        <patternFill patternType="solid">
          <fgColor rgb="FFEAF3F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CA"/>
              <a:t>Best sampled PF/tau vs temperature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PF_over_tau!$K$22</c:f>
              <c:strCache>
                <c:ptCount val="1"/>
                <c:pt idx="0">
                  <c:v>n-type PF/tau</c:v>
                </c:pt>
              </c:strCache>
            </c:strRef>
          </c:tx>
          <c:spPr>
            <a:ln w="24000">
              <a:solidFill>
                <a:srgbClr val="B64B4B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PF_over_tau!$J$23:$J$29</c:f>
              <c:numCache>
                <c:formatCode>General</c:formatCode>
                <c:ptCount val="7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</c:numCache>
            </c:numRef>
          </c:cat>
          <c:val>
            <c:numRef>
              <c:f>PF_over_tau!$K$23:$K$29</c:f>
              <c:numCache>
                <c:formatCode>0.000E+00</c:formatCode>
                <c:ptCount val="7"/>
                <c:pt idx="0">
                  <c:v>13302866351.00176</c:v>
                </c:pt>
                <c:pt idx="1">
                  <c:v>17768864526.016499</c:v>
                </c:pt>
                <c:pt idx="2">
                  <c:v>25249856999.821999</c:v>
                </c:pt>
                <c:pt idx="3">
                  <c:v>33414119640.970829</c:v>
                </c:pt>
                <c:pt idx="4">
                  <c:v>42129925916.007736</c:v>
                </c:pt>
                <c:pt idx="5">
                  <c:v>50125382080.201813</c:v>
                </c:pt>
                <c:pt idx="6">
                  <c:v>57942040112.073227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32-F649-8931-3A5FE6BB90DB}"/>
            </c:ext>
          </c:extLst>
        </c:ser>
        <c:ser>
          <c:idx val="1"/>
          <c:order val="1"/>
          <c:tx>
            <c:strRef>
              <c:f>PF_over_tau!$L$22</c:f>
              <c:strCache>
                <c:ptCount val="1"/>
                <c:pt idx="0">
                  <c:v>p-type PF/tau</c:v>
                </c:pt>
              </c:strCache>
            </c:strRef>
          </c:tx>
          <c:spPr>
            <a:ln w="24000">
              <a:solidFill>
                <a:srgbClr val="147D80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PF_over_tau!$J$23:$J$29</c:f>
              <c:numCache>
                <c:formatCode>General</c:formatCode>
                <c:ptCount val="7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</c:numCache>
            </c:numRef>
          </c:cat>
          <c:val>
            <c:numRef>
              <c:f>PF_over_tau!$L$23:$L$29</c:f>
              <c:numCache>
                <c:formatCode>0.000E+00</c:formatCode>
                <c:ptCount val="7"/>
                <c:pt idx="0">
                  <c:v>55623074321.860741</c:v>
                </c:pt>
                <c:pt idx="1">
                  <c:v>88992525012.411362</c:v>
                </c:pt>
                <c:pt idx="2">
                  <c:v>122010022127.5867</c:v>
                </c:pt>
                <c:pt idx="3">
                  <c:v>152270789591.65881</c:v>
                </c:pt>
                <c:pt idx="4">
                  <c:v>178278018593.26291</c:v>
                </c:pt>
                <c:pt idx="5">
                  <c:v>199133212785.5314</c:v>
                </c:pt>
                <c:pt idx="6">
                  <c:v>214395990031.75839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032-F649-8931-3A5FE6BB9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(K)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PF/tau (W m^-1 K^-2 s^-1)</a:t>
                </a:r>
              </a:p>
            </c:rich>
          </c:tx>
          <c:overlay val="1"/>
        </c:title>
        <c:numFmt formatCode="0.0E+00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31256851851851852"/>
          <c:y val="2.3518518518518518E-2"/>
          <c:w val="0.37486296296296295"/>
          <c:h val="0.2198311728395061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Energy convergence with cutoff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Convergence!$D$4</c:f>
              <c:strCache>
                <c:ptCount val="1"/>
                <c:pt idx="0">
                  <c:v>Delta vs 100 Ry (meV/atom)</c:v>
                </c:pt>
              </c:strCache>
            </c:strRef>
          </c:tx>
          <c:spPr>
            <a:ln>
              <a:solidFill>
                <a:srgbClr val="147D80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Convergence!$A$5:$A$10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cat>
          <c:val>
            <c:numRef>
              <c:f>Convergence!$D$5:$D$10</c:f>
              <c:numCache>
                <c:formatCode>0.000</c:formatCode>
                <c:ptCount val="6"/>
                <c:pt idx="0">
                  <c:v>6.8445763562508581</c:v>
                </c:pt>
                <c:pt idx="1">
                  <c:v>2.5903085472123619</c:v>
                </c:pt>
                <c:pt idx="2">
                  <c:v>2.0228434321367241</c:v>
                </c:pt>
                <c:pt idx="3">
                  <c:v>0.5718586200871757</c:v>
                </c:pt>
                <c:pt idx="4">
                  <c:v>0.1044066876090171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A0-0848-872C-005F2B2ED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ecutwfc (Ry)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Delta energy (meV/atom)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Energy convergence with k-point mesh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Convergence!$E$14</c:f>
              <c:strCache>
                <c:ptCount val="1"/>
                <c:pt idx="0">
                  <c:v>Delta vs 5x5x3 (meV/atom)</c:v>
                </c:pt>
              </c:strCache>
            </c:strRef>
          </c:tx>
          <c:spPr>
            <a:ln>
              <a:solidFill>
                <a:srgbClr val="B64B4B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Convergence!$A$15:$A$18</c:f>
              <c:strCache>
                <c:ptCount val="4"/>
                <c:pt idx="0">
                  <c:v>2x2x1</c:v>
                </c:pt>
                <c:pt idx="1">
                  <c:v>3x3x2</c:v>
                </c:pt>
                <c:pt idx="2">
                  <c:v>4x4x2</c:v>
                </c:pt>
                <c:pt idx="3">
                  <c:v>5x5x3</c:v>
                </c:pt>
              </c:strCache>
            </c:strRef>
          </c:cat>
          <c:val>
            <c:numRef>
              <c:f>Convergence!$E$15:$E$18</c:f>
              <c:numCache>
                <c:formatCode>0.000</c:formatCode>
                <c:ptCount val="4"/>
                <c:pt idx="0">
                  <c:v>3.4062703088856781</c:v>
                </c:pt>
                <c:pt idx="1">
                  <c:v>1.0848839553561</c:v>
                </c:pt>
                <c:pt idx="2">
                  <c:v>0.25315659670868851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93-1E46-84DA-D8263283C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K-point mesh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Delta energy (meV/atom)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CA"/>
              <a:t>Best sampled PF/tau vs temperature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PF_over_tau!$K$22</c:f>
              <c:strCache>
                <c:ptCount val="1"/>
                <c:pt idx="0">
                  <c:v>n-type PF/tau</c:v>
                </c:pt>
              </c:strCache>
            </c:strRef>
          </c:tx>
          <c:spPr>
            <a:ln w="24000">
              <a:solidFill>
                <a:srgbClr val="B64B4B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PF_over_tau!$J$23:$J$29</c:f>
              <c:numCache>
                <c:formatCode>General</c:formatCode>
                <c:ptCount val="7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</c:numCache>
            </c:numRef>
          </c:cat>
          <c:val>
            <c:numRef>
              <c:f>PF_over_tau!$K$23:$K$29</c:f>
              <c:numCache>
                <c:formatCode>0.000E+00</c:formatCode>
                <c:ptCount val="7"/>
                <c:pt idx="0">
                  <c:v>13302866351.00176</c:v>
                </c:pt>
                <c:pt idx="1">
                  <c:v>17768864526.016499</c:v>
                </c:pt>
                <c:pt idx="2">
                  <c:v>25249856999.821999</c:v>
                </c:pt>
                <c:pt idx="3">
                  <c:v>33414119640.970829</c:v>
                </c:pt>
                <c:pt idx="4">
                  <c:v>42129925916.007736</c:v>
                </c:pt>
                <c:pt idx="5">
                  <c:v>50125382080.201813</c:v>
                </c:pt>
                <c:pt idx="6">
                  <c:v>57942040112.073227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F1-E849-A036-8CC989BB870E}"/>
            </c:ext>
          </c:extLst>
        </c:ser>
        <c:ser>
          <c:idx val="1"/>
          <c:order val="1"/>
          <c:tx>
            <c:strRef>
              <c:f>PF_over_tau!$L$22</c:f>
              <c:strCache>
                <c:ptCount val="1"/>
                <c:pt idx="0">
                  <c:v>p-type PF/tau</c:v>
                </c:pt>
              </c:strCache>
            </c:strRef>
          </c:tx>
          <c:spPr>
            <a:ln w="24000">
              <a:solidFill>
                <a:srgbClr val="147D80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PF_over_tau!$J$23:$J$29</c:f>
              <c:numCache>
                <c:formatCode>General</c:formatCode>
                <c:ptCount val="7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</c:numCache>
            </c:numRef>
          </c:cat>
          <c:val>
            <c:numRef>
              <c:f>PF_over_tau!$L$23:$L$29</c:f>
              <c:numCache>
                <c:formatCode>0.000E+00</c:formatCode>
                <c:ptCount val="7"/>
                <c:pt idx="0">
                  <c:v>55623074321.860741</c:v>
                </c:pt>
                <c:pt idx="1">
                  <c:v>88992525012.411362</c:v>
                </c:pt>
                <c:pt idx="2">
                  <c:v>122010022127.5867</c:v>
                </c:pt>
                <c:pt idx="3">
                  <c:v>152270789591.65881</c:v>
                </c:pt>
                <c:pt idx="4">
                  <c:v>178278018593.26291</c:v>
                </c:pt>
                <c:pt idx="5">
                  <c:v>199133212785.5314</c:v>
                </c:pt>
                <c:pt idx="6">
                  <c:v>214395990031.75839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8F1-E849-A036-8CC989BB8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(K)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PF/tau (W m^-1 K^-2 s^-1)</a:t>
                </a:r>
              </a:p>
            </c:rich>
          </c:tx>
          <c:overlay val="1"/>
        </c:title>
        <c:numFmt formatCode="0.0E+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8233763440860216"/>
          <c:y val="2.5813016874328208E-2"/>
          <c:w val="0.43532473118279569"/>
          <c:h val="0.2326738593068629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Energy convergence with cutoff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Convergence!$D$4</c:f>
              <c:strCache>
                <c:ptCount val="1"/>
                <c:pt idx="0">
                  <c:v>Delta vs 100 Ry (meV/atom)</c:v>
                </c:pt>
              </c:strCache>
            </c:strRef>
          </c:tx>
          <c:spPr>
            <a:ln>
              <a:solidFill>
                <a:srgbClr val="147D80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Convergence!$A$5:$A$10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cat>
          <c:val>
            <c:numRef>
              <c:f>Convergence!$D$5:$D$10</c:f>
              <c:numCache>
                <c:formatCode>0.000</c:formatCode>
                <c:ptCount val="6"/>
                <c:pt idx="0">
                  <c:v>6.8445763562508581</c:v>
                </c:pt>
                <c:pt idx="1">
                  <c:v>2.5903085472123619</c:v>
                </c:pt>
                <c:pt idx="2">
                  <c:v>2.0228434321367241</c:v>
                </c:pt>
                <c:pt idx="3">
                  <c:v>0.5718586200871757</c:v>
                </c:pt>
                <c:pt idx="4">
                  <c:v>0.1044066876090171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E4-044C-8ABC-3AEC823F0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ecutwfc (Ry)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Delta energy (meV/atom)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Energy convergence with k-point mesh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Convergence!$E$14</c:f>
              <c:strCache>
                <c:ptCount val="1"/>
                <c:pt idx="0">
                  <c:v>Delta vs 5x5x3 (meV/atom)</c:v>
                </c:pt>
              </c:strCache>
            </c:strRef>
          </c:tx>
          <c:spPr>
            <a:ln>
              <a:solidFill>
                <a:srgbClr val="147D80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Convergence!$A$15:$A$18</c:f>
              <c:strCache>
                <c:ptCount val="4"/>
                <c:pt idx="0">
                  <c:v>2x2x1</c:v>
                </c:pt>
                <c:pt idx="1">
                  <c:v>3x3x2</c:v>
                </c:pt>
                <c:pt idx="2">
                  <c:v>4x4x2</c:v>
                </c:pt>
                <c:pt idx="3">
                  <c:v>5x5x3</c:v>
                </c:pt>
              </c:strCache>
            </c:strRef>
          </c:cat>
          <c:val>
            <c:numRef>
              <c:f>Convergence!$E$15:$E$18</c:f>
              <c:numCache>
                <c:formatCode>0.000</c:formatCode>
                <c:ptCount val="4"/>
                <c:pt idx="0">
                  <c:v>3.4062703088856781</c:v>
                </c:pt>
                <c:pt idx="1">
                  <c:v>1.0848839553561</c:v>
                </c:pt>
                <c:pt idx="2">
                  <c:v>0.25315659670868851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E9-B54B-B030-253BFA907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K-point mesh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Delta energy (meV/atom)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5580000" cy="295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17</xdr:row>
      <xdr:rowOff>135562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ttingsTable" displayName="SettingsTable" ref="A7:B14">
  <autoFilter ref="A7:B14" xr:uid="{00000000-0009-0000-0100-000001000000}"/>
  <tableColumns count="2">
    <tableColumn id="1" xr3:uid="{00000000-0010-0000-0000-000001000000}" name="Item"/>
    <tableColumn id="2" xr3:uid="{00000000-0010-0000-0000-000002000000}" name="My setting /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Table" displayName="FindingsTable" ref="A18:B23">
  <autoFilter ref="A18:B23" xr:uid="{00000000-0009-0000-0100-000002000000}"/>
  <tableColumns count="2">
    <tableColumn id="1" xr3:uid="{00000000-0010-0000-0100-000001000000}" name="Result"/>
    <tableColumn id="2" xr3:uid="{00000000-0010-0000-0100-000002000000}" name="My observ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estPFTable" displayName="BestPFTable" ref="A5:G19">
  <autoFilter ref="A5:G19" xr:uid="{00000000-0009-0000-0100-000004000000}"/>
  <tableColumns count="7">
    <tableColumn id="1" xr3:uid="{00000000-0010-0000-0300-000001000000}" name="Temperature (K)"/>
    <tableColumn id="2" xr3:uid="{00000000-0010-0000-0300-000002000000}" name="Type"/>
    <tableColumn id="3" xr3:uid="{00000000-0010-0000-0300-000003000000}" name="Density (cm^-3)"/>
    <tableColumn id="4" xr3:uid="{00000000-0010-0000-0300-000004000000}" name="S (uV/K)"/>
    <tableColumn id="5" xr3:uid="{00000000-0010-0000-0300-000005000000}" name="sigma/tau"/>
    <tableColumn id="6" xr3:uid="{00000000-0010-0000-0300-000006000000}" name="kappa_e/tau"/>
    <tableColumn id="7" xr3:uid="{00000000-0010-0000-0300-000007000000}" name="PF/tau (W m^-1 K^-2 s^-1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utoffTable" displayName="CutoffTable" ref="A4:E10">
  <autoFilter ref="A4:E10" xr:uid="{00000000-0009-0000-0100-000005000000}"/>
  <tableColumns count="5">
    <tableColumn id="1" xr3:uid="{00000000-0010-0000-0400-000001000000}" name="ecutwfc (Ry)"/>
    <tableColumn id="2" xr3:uid="{00000000-0010-0000-0400-000002000000}" name="ecutrho (Ry)"/>
    <tableColumn id="3" xr3:uid="{00000000-0010-0000-0400-000003000000}" name="Energy (Ry)"/>
    <tableColumn id="4" xr3:uid="{00000000-0010-0000-0400-000004000000}" name="Delta vs 100 Ry (meV/atom)"/>
    <tableColumn id="5" xr3:uid="{00000000-0010-0000-0400-000005000000}" name="Pressure (kbar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KpointTable" displayName="KpointTable" ref="A14:E18">
  <autoFilter ref="A14:E18" xr:uid="{00000000-0009-0000-0100-000006000000}"/>
  <tableColumns count="5">
    <tableColumn id="1" xr3:uid="{00000000-0010-0000-0500-000001000000}" name="Mesh"/>
    <tableColumn id="2" xr3:uid="{00000000-0010-0000-0500-000002000000}" name="Full k points"/>
    <tableColumn id="3" xr3:uid="{00000000-0010-0000-0500-000003000000}" name="Irreducible k points"/>
    <tableColumn id="4" xr3:uid="{00000000-0010-0000-0500-000004000000}" name="Energy (Ry)"/>
    <tableColumn id="5" xr3:uid="{00000000-0010-0000-0500-000005000000}" name="Delta vs 5x5x3 (meV/ato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materialsproject.org/materials/mp-16988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"/>
  <sheetViews>
    <sheetView showGridLines="0" tabSelected="1" zoomScale="181" workbookViewId="0">
      <selection activeCell="G28" sqref="G28"/>
    </sheetView>
  </sheetViews>
  <sheetFormatPr baseColWidth="10" defaultColWidth="8.83203125" defaultRowHeight="14"/>
  <cols>
    <col min="1" max="14" width="12" customWidth="1"/>
  </cols>
  <sheetData>
    <row r="1" spans="1:14" ht="30" customHeight="1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30" customHeight="1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</sheetData>
  <mergeCells count="2">
    <mergeCell ref="A2:N2"/>
    <mergeCell ref="A1:N1"/>
  </mergeCells>
  <phoneticPr fontId="7" type="noConversion"/>
  <pageMargins left="0.75" right="0.75" top="1" bottom="1" header="0.5" footer="0.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0"/>
  <sheetViews>
    <sheetView showGridLines="0" workbookViewId="0">
      <pane ySplit="6" topLeftCell="A7" activePane="bottomLeft" state="frozen"/>
      <selection pane="bottomLeft" sqref="A1:H1"/>
    </sheetView>
  </sheetViews>
  <sheetFormatPr baseColWidth="10" defaultColWidth="8.83203125" defaultRowHeight="14"/>
  <cols>
    <col min="1" max="1" width="24" customWidth="1"/>
    <col min="2" max="2" width="78" customWidth="1"/>
    <col min="3" max="8" width="3" customWidth="1"/>
  </cols>
  <sheetData>
    <row r="1" spans="1:8" ht="30" customHeight="1">
      <c r="A1" s="13" t="s">
        <v>2</v>
      </c>
      <c r="B1" s="12"/>
      <c r="C1" s="12"/>
      <c r="D1" s="12"/>
      <c r="E1" s="12"/>
      <c r="F1" s="12"/>
      <c r="G1" s="12"/>
      <c r="H1" s="12"/>
    </row>
    <row r="3" spans="1:8">
      <c r="A3" s="15" t="s">
        <v>3</v>
      </c>
      <c r="B3" s="12"/>
      <c r="C3" s="12"/>
      <c r="D3" s="12"/>
      <c r="E3" s="12"/>
      <c r="F3" s="12"/>
      <c r="G3" s="12"/>
      <c r="H3" s="12"/>
    </row>
    <row r="4" spans="1:8">
      <c r="A4" s="12"/>
      <c r="B4" s="12"/>
      <c r="C4" s="12"/>
      <c r="D4" s="12"/>
      <c r="E4" s="12"/>
      <c r="F4" s="12"/>
      <c r="G4" s="12"/>
      <c r="H4" s="12"/>
    </row>
    <row r="6" spans="1:8" ht="15">
      <c r="A6" s="16" t="s">
        <v>4</v>
      </c>
      <c r="B6" s="12"/>
      <c r="C6" s="12"/>
      <c r="D6" s="12"/>
      <c r="E6" s="12"/>
      <c r="F6" s="12"/>
      <c r="G6" s="12"/>
      <c r="H6" s="12"/>
    </row>
    <row r="7" spans="1:8" ht="15">
      <c r="A7" s="1" t="s">
        <v>5</v>
      </c>
      <c r="B7" s="1" t="s">
        <v>6</v>
      </c>
    </row>
    <row r="8" spans="1:8" ht="15">
      <c r="A8" s="2" t="s">
        <v>7</v>
      </c>
      <c r="B8" s="3" t="s">
        <v>8</v>
      </c>
    </row>
    <row r="9" spans="1:8" ht="15">
      <c r="A9" s="2" t="s">
        <v>9</v>
      </c>
      <c r="B9" s="3" t="s">
        <v>10</v>
      </c>
    </row>
    <row r="10" spans="1:8" ht="15">
      <c r="A10" s="2" t="s">
        <v>11</v>
      </c>
      <c r="B10" s="3" t="s">
        <v>12</v>
      </c>
    </row>
    <row r="11" spans="1:8" ht="15">
      <c r="A11" s="2" t="s">
        <v>13</v>
      </c>
      <c r="B11" s="3" t="s">
        <v>14</v>
      </c>
    </row>
    <row r="12" spans="1:8" ht="15">
      <c r="A12" s="2" t="s">
        <v>15</v>
      </c>
      <c r="B12" s="3" t="s">
        <v>16</v>
      </c>
    </row>
    <row r="13" spans="1:8" ht="15">
      <c r="A13" s="2" t="s">
        <v>17</v>
      </c>
      <c r="B13" s="3" t="s">
        <v>18</v>
      </c>
    </row>
    <row r="14" spans="1:8" ht="15">
      <c r="A14" s="2" t="s">
        <v>19</v>
      </c>
      <c r="B14" s="3" t="s">
        <v>20</v>
      </c>
    </row>
    <row r="17" spans="1:8" ht="15">
      <c r="A17" s="16" t="s">
        <v>21</v>
      </c>
      <c r="B17" s="12"/>
      <c r="C17" s="12"/>
      <c r="D17" s="12"/>
      <c r="E17" s="12"/>
      <c r="F17" s="12"/>
      <c r="G17" s="12"/>
      <c r="H17" s="12"/>
    </row>
    <row r="18" spans="1:8" ht="15">
      <c r="A18" s="1" t="s">
        <v>22</v>
      </c>
      <c r="B18" s="1" t="s">
        <v>23</v>
      </c>
    </row>
    <row r="19" spans="1:8" ht="15">
      <c r="A19" s="2" t="s">
        <v>24</v>
      </c>
      <c r="B19" s="3" t="s">
        <v>25</v>
      </c>
    </row>
    <row r="20" spans="1:8" ht="15">
      <c r="A20" s="2" t="s">
        <v>26</v>
      </c>
      <c r="B20" s="3" t="s">
        <v>27</v>
      </c>
    </row>
    <row r="21" spans="1:8" ht="15">
      <c r="A21" s="2" t="s">
        <v>28</v>
      </c>
      <c r="B21" s="3" t="s">
        <v>29</v>
      </c>
    </row>
    <row r="22" spans="1:8" ht="30">
      <c r="A22" s="2" t="s">
        <v>30</v>
      </c>
      <c r="B22" s="3" t="s">
        <v>31</v>
      </c>
    </row>
    <row r="23" spans="1:8" ht="15">
      <c r="A23" s="2" t="s">
        <v>32</v>
      </c>
      <c r="B23" s="3" t="s">
        <v>33</v>
      </c>
    </row>
    <row r="25" spans="1:8" ht="15">
      <c r="A25" s="16" t="s">
        <v>34</v>
      </c>
      <c r="B25" s="12"/>
      <c r="C25" s="12"/>
      <c r="D25" s="12"/>
      <c r="E25" s="12"/>
      <c r="F25" s="12"/>
      <c r="G25" s="12"/>
      <c r="H25" s="12"/>
    </row>
    <row r="26" spans="1:8">
      <c r="A26" s="14" t="s">
        <v>35</v>
      </c>
      <c r="B26" s="12"/>
      <c r="C26" s="12"/>
      <c r="D26" s="12"/>
      <c r="E26" s="12"/>
      <c r="F26" s="12"/>
      <c r="G26" s="12"/>
      <c r="H26" s="12"/>
    </row>
    <row r="27" spans="1:8">
      <c r="A27" s="12"/>
      <c r="B27" s="12"/>
      <c r="C27" s="12"/>
      <c r="D27" s="12"/>
      <c r="E27" s="12"/>
      <c r="F27" s="12"/>
      <c r="G27" s="12"/>
      <c r="H27" s="12"/>
    </row>
    <row r="28" spans="1:8">
      <c r="A28" s="12"/>
      <c r="B28" s="12"/>
      <c r="C28" s="12"/>
      <c r="D28" s="12"/>
      <c r="E28" s="12"/>
      <c r="F28" s="12"/>
      <c r="G28" s="12"/>
      <c r="H28" s="12"/>
    </row>
    <row r="30" spans="1:8" ht="15">
      <c r="A30" t="s">
        <v>36</v>
      </c>
      <c r="B30" s="4" t="s">
        <v>37</v>
      </c>
    </row>
  </sheetData>
  <mergeCells count="6">
    <mergeCell ref="A26:H28"/>
    <mergeCell ref="A3:H4"/>
    <mergeCell ref="A25:H25"/>
    <mergeCell ref="A1:H1"/>
    <mergeCell ref="A6:H6"/>
    <mergeCell ref="A17:H17"/>
  </mergeCells>
  <phoneticPr fontId="7" type="noConversion"/>
  <hyperlinks>
    <hyperlink ref="B30" r:id="rId1" xr:uid="{00000000-0004-0000-0100-000000000000}"/>
  </hyperlinks>
  <pageMargins left="0.75" right="0.75" top="1" bottom="1" header="0.5" footer="0.5"/>
  <pageSetup fitToHeight="0" orientation="portrait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03"/>
  <sheetViews>
    <sheetView showGridLines="0" zoomScale="59" workbookViewId="0">
      <pane ySplit="5" topLeftCell="A6" activePane="bottomLeft" state="frozen"/>
      <selection pane="bottomLeft" sqref="A1:M1"/>
    </sheetView>
  </sheetViews>
  <sheetFormatPr baseColWidth="10" defaultColWidth="8.83203125" defaultRowHeight="14"/>
  <cols>
    <col min="1" max="1" width="16" customWidth="1"/>
    <col min="2" max="2" width="13" customWidth="1"/>
    <col min="3" max="5" width="23" customWidth="1"/>
    <col min="6" max="6" width="19" customWidth="1"/>
    <col min="7" max="9" width="29" customWidth="1"/>
    <col min="10" max="13" width="25" customWidth="1"/>
  </cols>
  <sheetData>
    <row r="1" spans="1:13" ht="30" customHeight="1">
      <c r="A1" s="13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>
      <c r="A2" s="17" t="s">
        <v>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5" spans="1:13" ht="15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1" t="s">
        <v>51</v>
      </c>
      <c r="M5" s="1" t="s">
        <v>52</v>
      </c>
    </row>
    <row r="6" spans="1:13">
      <c r="A6" s="5">
        <v>300</v>
      </c>
      <c r="B6" t="s">
        <v>53</v>
      </c>
      <c r="C6" s="6">
        <v>1.000388064156859E+21</v>
      </c>
      <c r="D6" s="6">
        <v>-1.000388064156859E+21</v>
      </c>
      <c r="E6" s="6">
        <v>0.60606099999999996</v>
      </c>
      <c r="F6" s="7">
        <v>-20.522400000000001</v>
      </c>
      <c r="G6" s="6">
        <v>2.30932E+19</v>
      </c>
      <c r="H6" s="6">
        <v>143317000000000</v>
      </c>
      <c r="I6" s="6">
        <f t="shared" ref="I6:I37" si="0">(F6/1000000)^2*G6</f>
        <v>9726137682.124033</v>
      </c>
      <c r="J6" s="6">
        <v>-7.93715E-9</v>
      </c>
      <c r="K6" s="6">
        <v>84.367699999999999</v>
      </c>
      <c r="L6" s="6">
        <v>1.94278</v>
      </c>
      <c r="M6" s="6">
        <v>2.3047100000000002E-12</v>
      </c>
    </row>
    <row r="7" spans="1:13">
      <c r="A7" s="5">
        <v>400</v>
      </c>
      <c r="B7" t="s">
        <v>53</v>
      </c>
      <c r="C7" s="6">
        <v>9.9968176020041289E+20</v>
      </c>
      <c r="D7" s="6">
        <v>-9.9968176020041289E+20</v>
      </c>
      <c r="E7" s="6">
        <v>0.605321</v>
      </c>
      <c r="F7" s="7">
        <v>-23.224900000000002</v>
      </c>
      <c r="G7" s="6">
        <v>2.17203E+19</v>
      </c>
      <c r="H7" s="6">
        <v>173101000000000</v>
      </c>
      <c r="I7" s="6">
        <f t="shared" si="0"/>
        <v>11715842504.611204</v>
      </c>
      <c r="J7" s="6">
        <v>-8.7998599999999994E-9</v>
      </c>
      <c r="K7" s="6">
        <v>81.193899999999999</v>
      </c>
      <c r="L7" s="6">
        <v>2.6571500000000001</v>
      </c>
      <c r="M7" s="6">
        <v>2.218E-12</v>
      </c>
    </row>
    <row r="8" spans="1:13">
      <c r="A8" s="5">
        <v>500</v>
      </c>
      <c r="B8" t="s">
        <v>53</v>
      </c>
      <c r="C8" s="6">
        <v>1.0004905331246341E+21</v>
      </c>
      <c r="D8" s="6">
        <v>-1.0004905331246341E+21</v>
      </c>
      <c r="E8" s="6">
        <v>0.60445599999999999</v>
      </c>
      <c r="F8" s="7">
        <v>-24.574999999999999</v>
      </c>
      <c r="G8" s="6">
        <v>2.05043E+19</v>
      </c>
      <c r="H8" s="6">
        <v>197273000000000</v>
      </c>
      <c r="I8" s="6">
        <f t="shared" si="0"/>
        <v>12383174714.187498</v>
      </c>
      <c r="J8" s="6">
        <v>-9.80219E-9</v>
      </c>
      <c r="K8" s="6">
        <v>77.259600000000006</v>
      </c>
      <c r="L8" s="6">
        <v>3.27427</v>
      </c>
      <c r="M8" s="6">
        <v>2.1105299999999999E-12</v>
      </c>
    </row>
    <row r="9" spans="1:13">
      <c r="A9" s="5">
        <v>600</v>
      </c>
      <c r="B9" t="s">
        <v>53</v>
      </c>
      <c r="C9" s="6">
        <v>9.9958112103563434E+20</v>
      </c>
      <c r="D9" s="6">
        <v>-9.9958112103563434E+20</v>
      </c>
      <c r="E9" s="6">
        <v>0.60348000000000002</v>
      </c>
      <c r="F9" s="7">
        <v>-25.643699999999999</v>
      </c>
      <c r="G9" s="6">
        <v>1.94145E+19</v>
      </c>
      <c r="H9" s="6">
        <v>216669000000000</v>
      </c>
      <c r="I9" s="6">
        <f t="shared" si="0"/>
        <v>12766962574.556505</v>
      </c>
      <c r="J9" s="6">
        <v>-1.09537E-8</v>
      </c>
      <c r="K9" s="6">
        <v>72.824100000000001</v>
      </c>
      <c r="L9" s="6">
        <v>3.7980999999999998</v>
      </c>
      <c r="M9" s="6">
        <v>1.9893599999999999E-12</v>
      </c>
    </row>
    <row r="10" spans="1:13">
      <c r="A10" s="5">
        <v>700</v>
      </c>
      <c r="B10" t="s">
        <v>53</v>
      </c>
      <c r="C10" s="6">
        <v>9.9973848409328819E+20</v>
      </c>
      <c r="D10" s="6">
        <v>-9.9973848409328819E+20</v>
      </c>
      <c r="E10" s="6">
        <v>0.602437</v>
      </c>
      <c r="F10" s="7">
        <v>-26.832899999999999</v>
      </c>
      <c r="G10" s="6">
        <v>1.84394E+19</v>
      </c>
      <c r="H10" s="6">
        <v>231408000000000</v>
      </c>
      <c r="I10" s="6">
        <f t="shared" si="0"/>
        <v>13276451390.526953</v>
      </c>
      <c r="J10" s="6">
        <v>-1.2223200000000001E-8</v>
      </c>
      <c r="K10" s="6">
        <v>68.507999999999996</v>
      </c>
      <c r="L10" s="6">
        <v>4.2466799999999996</v>
      </c>
      <c r="M10" s="6">
        <v>1.8714600000000002E-12</v>
      </c>
    </row>
    <row r="11" spans="1:13">
      <c r="A11" s="5">
        <v>800</v>
      </c>
      <c r="B11" t="s">
        <v>53</v>
      </c>
      <c r="C11" s="6">
        <v>9.9994891143782544E+20</v>
      </c>
      <c r="D11" s="6">
        <v>-9.9994891143782544E+20</v>
      </c>
      <c r="E11" s="6">
        <v>0.60133800000000004</v>
      </c>
      <c r="F11" s="7">
        <v>-28.386600000000001</v>
      </c>
      <c r="G11" s="6">
        <v>1.75487E+19</v>
      </c>
      <c r="H11" s="6">
        <v>241608000000000</v>
      </c>
      <c r="I11" s="6">
        <f t="shared" si="0"/>
        <v>14140725956.500572</v>
      </c>
      <c r="J11" s="6">
        <v>-1.36043E-8</v>
      </c>
      <c r="K11" s="6">
        <v>64.435699999999997</v>
      </c>
      <c r="L11" s="6">
        <v>4.6290399999999998</v>
      </c>
      <c r="M11" s="6">
        <v>1.7602199999999999E-12</v>
      </c>
    </row>
    <row r="12" spans="1:13">
      <c r="A12" s="5">
        <v>900</v>
      </c>
      <c r="B12" t="s">
        <v>53</v>
      </c>
      <c r="C12" s="6">
        <v>1.0009058984047209E+21</v>
      </c>
      <c r="D12" s="6">
        <v>-1.0009058984047209E+21</v>
      </c>
      <c r="E12" s="6">
        <v>0.60020099999999998</v>
      </c>
      <c r="F12" s="7">
        <v>-30.361499999999999</v>
      </c>
      <c r="G12" s="6">
        <v>1.67249E+19</v>
      </c>
      <c r="H12" s="6">
        <v>247515000000000</v>
      </c>
      <c r="I12" s="6">
        <f t="shared" si="0"/>
        <v>15417358728.563026</v>
      </c>
      <c r="J12" s="6">
        <v>-1.5076100000000001E-8</v>
      </c>
      <c r="K12" s="6">
        <v>60.724899999999998</v>
      </c>
      <c r="L12" s="6">
        <v>4.9547800000000004</v>
      </c>
      <c r="M12" s="6">
        <v>1.6588499999999999E-12</v>
      </c>
    </row>
    <row r="13" spans="1:13">
      <c r="A13" s="5">
        <v>300</v>
      </c>
      <c r="B13" t="s">
        <v>53</v>
      </c>
      <c r="C13" s="6">
        <v>4.9995158318146303E+20</v>
      </c>
      <c r="D13" s="6">
        <v>-4.9995158318146303E+20</v>
      </c>
      <c r="E13" s="6">
        <v>0.60131900000000005</v>
      </c>
      <c r="F13" s="7">
        <v>-27.4771</v>
      </c>
      <c r="G13" s="6">
        <v>1.76199E+19</v>
      </c>
      <c r="H13" s="6">
        <v>135717000000000</v>
      </c>
      <c r="I13" s="6">
        <f t="shared" si="0"/>
        <v>13302866351.00176</v>
      </c>
      <c r="J13" s="6">
        <v>-1.44742E-8</v>
      </c>
      <c r="K13" s="6">
        <v>36.451799999999999</v>
      </c>
      <c r="L13" s="6">
        <v>1.0034799999999999</v>
      </c>
      <c r="M13" s="6">
        <v>9.9576799999999996E-13</v>
      </c>
    </row>
    <row r="14" spans="1:13">
      <c r="A14" s="5">
        <v>400</v>
      </c>
      <c r="B14" t="s">
        <v>53</v>
      </c>
      <c r="C14" s="6">
        <v>5.00026605104298E+20</v>
      </c>
      <c r="D14" s="6">
        <v>-5.00026605104298E+20</v>
      </c>
      <c r="E14" s="6">
        <v>0.60042300000000004</v>
      </c>
      <c r="F14" s="7">
        <v>-30.800899999999999</v>
      </c>
      <c r="G14" s="6">
        <v>1.72416E+19</v>
      </c>
      <c r="H14" s="6">
        <v>170907000000000</v>
      </c>
      <c r="I14" s="6">
        <f t="shared" si="0"/>
        <v>16357027312.269693</v>
      </c>
      <c r="J14" s="6">
        <v>-1.52394E-8</v>
      </c>
      <c r="K14" s="6">
        <v>35.415100000000002</v>
      </c>
      <c r="L14" s="6">
        <v>1.56572</v>
      </c>
      <c r="M14" s="6">
        <v>9.6744899999999991E-13</v>
      </c>
    </row>
    <row r="15" spans="1:13">
      <c r="A15" s="5">
        <v>500</v>
      </c>
      <c r="B15" t="s">
        <v>53</v>
      </c>
      <c r="C15" s="6">
        <v>4.9975030485190568E+20</v>
      </c>
      <c r="D15" s="6">
        <v>-4.9975030485190568E+20</v>
      </c>
      <c r="E15" s="6">
        <v>0.59933400000000003</v>
      </c>
      <c r="F15" s="7">
        <v>-33.348599999999998</v>
      </c>
      <c r="G15" s="6">
        <v>1.66878E+19</v>
      </c>
      <c r="H15" s="6">
        <v>198438000000000</v>
      </c>
      <c r="I15" s="6">
        <f t="shared" si="0"/>
        <v>18558988361.444084</v>
      </c>
      <c r="J15" s="6">
        <v>-1.6482000000000002E-8</v>
      </c>
      <c r="K15" s="6">
        <v>34.3401</v>
      </c>
      <c r="L15" s="6">
        <v>2.1315200000000001</v>
      </c>
      <c r="M15" s="6">
        <v>9.3808199999999992E-13</v>
      </c>
    </row>
    <row r="16" spans="1:13">
      <c r="A16" s="5">
        <v>600</v>
      </c>
      <c r="B16" t="s">
        <v>53</v>
      </c>
      <c r="C16" s="6">
        <v>4.9990034869757582E+20</v>
      </c>
      <c r="D16" s="6">
        <v>-4.9990034869757582E+20</v>
      </c>
      <c r="E16" s="6">
        <v>0.59811099999999995</v>
      </c>
      <c r="F16" s="7">
        <v>-35.904600000000002</v>
      </c>
      <c r="G16" s="6">
        <v>1.60531E+19</v>
      </c>
      <c r="H16" s="6">
        <v>218764000000000</v>
      </c>
      <c r="I16" s="6">
        <f t="shared" si="0"/>
        <v>20694698168.551598</v>
      </c>
      <c r="J16" s="6">
        <v>-1.80538E-8</v>
      </c>
      <c r="K16" s="6">
        <v>33.223399999999998</v>
      </c>
      <c r="L16" s="6">
        <v>2.6543600000000001</v>
      </c>
      <c r="M16" s="6">
        <v>9.0757800000000001E-13</v>
      </c>
    </row>
    <row r="17" spans="1:13">
      <c r="A17" s="5">
        <v>700</v>
      </c>
      <c r="B17" t="s">
        <v>53</v>
      </c>
      <c r="C17" s="6">
        <v>5.002223940248674E+20</v>
      </c>
      <c r="D17" s="6">
        <v>-5.002223940248674E+20</v>
      </c>
      <c r="E17" s="6">
        <v>0.59678799999999999</v>
      </c>
      <c r="F17" s="7">
        <v>-38.844000000000001</v>
      </c>
      <c r="G17" s="6">
        <v>1.53758E+19</v>
      </c>
      <c r="H17" s="6">
        <v>232440000000000</v>
      </c>
      <c r="I17" s="6">
        <f t="shared" si="0"/>
        <v>23199873251.068802</v>
      </c>
      <c r="J17" s="6">
        <v>-1.9878800000000001E-8</v>
      </c>
      <c r="K17" s="6">
        <v>32.051000000000002</v>
      </c>
      <c r="L17" s="6">
        <v>3.1189300000000002</v>
      </c>
      <c r="M17" s="6">
        <v>8.7555000000000004E-13</v>
      </c>
    </row>
    <row r="18" spans="1:13">
      <c r="A18" s="5">
        <v>800</v>
      </c>
      <c r="B18" t="s">
        <v>53</v>
      </c>
      <c r="C18" s="6">
        <v>5.0004124352826592E+20</v>
      </c>
      <c r="D18" s="6">
        <v>-5.0004124352826592E+20</v>
      </c>
      <c r="E18" s="6">
        <v>0.59538100000000005</v>
      </c>
      <c r="F18" s="7">
        <v>-42.367600000000003</v>
      </c>
      <c r="G18" s="6">
        <v>1.46713E+19</v>
      </c>
      <c r="H18" s="6">
        <v>240033000000000</v>
      </c>
      <c r="I18" s="6">
        <f t="shared" si="0"/>
        <v>26335181999.167892</v>
      </c>
      <c r="J18" s="6">
        <v>-2.1930799999999999E-8</v>
      </c>
      <c r="K18" s="6">
        <v>30.8109</v>
      </c>
      <c r="L18" s="6">
        <v>3.5225499999999998</v>
      </c>
      <c r="M18" s="6">
        <v>8.4167399999999997E-13</v>
      </c>
    </row>
    <row r="19" spans="1:13">
      <c r="A19" s="5">
        <v>900</v>
      </c>
      <c r="B19" t="s">
        <v>53</v>
      </c>
      <c r="C19" s="6">
        <v>5.0010711643612093E+20</v>
      </c>
      <c r="D19" s="6">
        <v>-5.0010711643612093E+20</v>
      </c>
      <c r="E19" s="6">
        <v>0.59391899999999997</v>
      </c>
      <c r="F19" s="7">
        <v>-46.510800000000003</v>
      </c>
      <c r="G19" s="6">
        <v>1.3957E+19</v>
      </c>
      <c r="H19" s="6">
        <v>242400000000000</v>
      </c>
      <c r="I19" s="6">
        <f t="shared" si="0"/>
        <v>30192543288.74448</v>
      </c>
      <c r="J19" s="6">
        <v>-2.4168100000000001E-8</v>
      </c>
      <c r="K19" s="6">
        <v>29.593</v>
      </c>
      <c r="L19" s="6">
        <v>3.8737699999999999</v>
      </c>
      <c r="M19" s="6">
        <v>8.0840299999999998E-13</v>
      </c>
    </row>
    <row r="20" spans="1:13">
      <c r="A20" s="5">
        <v>300</v>
      </c>
      <c r="B20" t="s">
        <v>53</v>
      </c>
      <c r="C20" s="6">
        <v>2.000230847020918E+20</v>
      </c>
      <c r="D20" s="6">
        <v>-2.000230847020918E+20</v>
      </c>
      <c r="E20" s="6">
        <v>0.59177400000000002</v>
      </c>
      <c r="F20" s="7">
        <v>-16.3842</v>
      </c>
      <c r="G20" s="6">
        <v>1.25481E+19</v>
      </c>
      <c r="H20" s="6">
        <v>95047500000000</v>
      </c>
      <c r="I20" s="6">
        <f t="shared" si="0"/>
        <v>3368437181.1636848</v>
      </c>
      <c r="J20" s="6">
        <v>-3.3369699999999997E-8</v>
      </c>
      <c r="K20" s="6">
        <v>8.0570000000000004</v>
      </c>
      <c r="L20" s="6">
        <v>0.21490699999999999</v>
      </c>
      <c r="M20" s="6">
        <v>2.20096E-13</v>
      </c>
    </row>
    <row r="21" spans="1:13">
      <c r="A21" s="5">
        <v>400</v>
      </c>
      <c r="B21" t="s">
        <v>53</v>
      </c>
      <c r="C21" s="6">
        <v>1.9996270120322469E+20</v>
      </c>
      <c r="D21" s="6">
        <v>-1.9996270120322469E+20</v>
      </c>
      <c r="E21" s="6">
        <v>0.59121500000000005</v>
      </c>
      <c r="F21" s="7">
        <v>-22.817499999999999</v>
      </c>
      <c r="G21" s="6">
        <v>1.24789E+19</v>
      </c>
      <c r="H21" s="6">
        <v>123961000000000</v>
      </c>
      <c r="I21" s="6">
        <f t="shared" si="0"/>
        <v>6496993359.8631239</v>
      </c>
      <c r="J21" s="6">
        <v>-3.3772300000000003E-8</v>
      </c>
      <c r="K21" s="6">
        <v>8.6002299999999998</v>
      </c>
      <c r="L21" s="6">
        <v>0.40592699999999998</v>
      </c>
      <c r="M21" s="6">
        <v>2.3493600000000002E-13</v>
      </c>
    </row>
    <row r="22" spans="1:13">
      <c r="A22" s="5">
        <v>500</v>
      </c>
      <c r="B22" t="s">
        <v>53</v>
      </c>
      <c r="C22" s="6">
        <v>2.0004138273205161E+20</v>
      </c>
      <c r="D22" s="6">
        <v>-2.0004138273205161E+20</v>
      </c>
      <c r="E22" s="6">
        <v>0.59039799999999998</v>
      </c>
      <c r="F22" s="7">
        <v>-30.535900000000002</v>
      </c>
      <c r="G22" s="6">
        <v>1.224E+19</v>
      </c>
      <c r="H22" s="6">
        <v>149215000000000</v>
      </c>
      <c r="I22" s="6">
        <f t="shared" si="0"/>
        <v>11413080151.034401</v>
      </c>
      <c r="J22" s="6">
        <v>-3.4921800000000002E-8</v>
      </c>
      <c r="K22" s="6">
        <v>9.2145200000000003</v>
      </c>
      <c r="L22" s="6">
        <v>0.68262900000000004</v>
      </c>
      <c r="M22" s="6">
        <v>2.51717E-13</v>
      </c>
    </row>
    <row r="23" spans="1:13">
      <c r="A23" s="5">
        <v>600</v>
      </c>
      <c r="B23" t="s">
        <v>53</v>
      </c>
      <c r="C23" s="6">
        <v>1.999572117942367E+20</v>
      </c>
      <c r="D23" s="6">
        <v>-1.999572117942367E+20</v>
      </c>
      <c r="E23" s="6">
        <v>0.58931599999999995</v>
      </c>
      <c r="F23" s="7">
        <v>-38.718899999999998</v>
      </c>
      <c r="G23" s="6">
        <v>1.18554E+19</v>
      </c>
      <c r="H23" s="6">
        <v>168241000000000</v>
      </c>
      <c r="I23" s="6">
        <f t="shared" si="0"/>
        <v>17773061051.311436</v>
      </c>
      <c r="J23" s="6">
        <v>-3.6807099999999999E-8</v>
      </c>
      <c r="K23" s="6">
        <v>9.76736</v>
      </c>
      <c r="L23" s="6">
        <v>1.0121500000000001</v>
      </c>
      <c r="M23" s="6">
        <v>2.66819E-13</v>
      </c>
    </row>
    <row r="24" spans="1:13">
      <c r="A24" s="5">
        <v>700</v>
      </c>
      <c r="B24" t="s">
        <v>53</v>
      </c>
      <c r="C24" s="6">
        <v>2.000541913530234E+20</v>
      </c>
      <c r="D24" s="6">
        <v>-2.000541913530234E+20</v>
      </c>
      <c r="E24" s="6">
        <v>0.58803300000000003</v>
      </c>
      <c r="F24" s="7">
        <v>-47.121400000000001</v>
      </c>
      <c r="G24" s="6">
        <v>1.13562E+19</v>
      </c>
      <c r="H24" s="6">
        <v>180545000000000</v>
      </c>
      <c r="I24" s="6">
        <f t="shared" si="0"/>
        <v>25215605579.14135</v>
      </c>
      <c r="J24" s="6">
        <v>-3.9358000000000001E-8</v>
      </c>
      <c r="K24" s="6">
        <v>10.203099999999999</v>
      </c>
      <c r="L24" s="6">
        <v>1.3603499999999999</v>
      </c>
      <c r="M24" s="6">
        <v>2.7872300000000001E-13</v>
      </c>
    </row>
    <row r="25" spans="1:13">
      <c r="A25" s="5">
        <v>800</v>
      </c>
      <c r="B25" t="s">
        <v>53</v>
      </c>
      <c r="C25" s="6">
        <v>1.9994257337026891E+20</v>
      </c>
      <c r="D25" s="6">
        <v>-1.9994257337026891E+20</v>
      </c>
      <c r="E25" s="6">
        <v>0.58656900000000001</v>
      </c>
      <c r="F25" s="7">
        <v>-55.736499999999999</v>
      </c>
      <c r="G25" s="6">
        <v>1.07646E+19</v>
      </c>
      <c r="H25" s="6">
        <v>186516000000000</v>
      </c>
      <c r="I25" s="6">
        <f t="shared" si="0"/>
        <v>33440848135.198345</v>
      </c>
      <c r="J25" s="6">
        <v>-4.2611600000000003E-8</v>
      </c>
      <c r="K25" s="6">
        <v>10.4725</v>
      </c>
      <c r="L25" s="6">
        <v>1.6991400000000001</v>
      </c>
      <c r="M25" s="6">
        <v>2.8607999999999998E-13</v>
      </c>
    </row>
    <row r="26" spans="1:13">
      <c r="A26" s="5">
        <v>900</v>
      </c>
      <c r="B26" t="s">
        <v>53</v>
      </c>
      <c r="C26" s="6">
        <v>1.999315945522931E+20</v>
      </c>
      <c r="D26" s="6">
        <v>-1.999315945522931E+20</v>
      </c>
      <c r="E26" s="6">
        <v>0.584978</v>
      </c>
      <c r="F26" s="7">
        <v>-64.5411</v>
      </c>
      <c r="G26" s="6">
        <v>1.01203E+19</v>
      </c>
      <c r="H26" s="6">
        <v>187359000000000</v>
      </c>
      <c r="I26" s="6">
        <f t="shared" si="0"/>
        <v>42156651988.881958</v>
      </c>
      <c r="J26" s="6">
        <v>-4.6498200000000001E-8</v>
      </c>
      <c r="K26" s="6">
        <v>10.603199999999999</v>
      </c>
      <c r="L26" s="6">
        <v>2.0189699999999999</v>
      </c>
      <c r="M26" s="6">
        <v>2.89653E-13</v>
      </c>
    </row>
    <row r="27" spans="1:13">
      <c r="A27" s="5">
        <v>300</v>
      </c>
      <c r="B27" t="s">
        <v>53</v>
      </c>
      <c r="C27" s="6">
        <v>9.9971652645733646E+19</v>
      </c>
      <c r="D27" s="6">
        <v>-9.9971652645733646E+19</v>
      </c>
      <c r="E27" s="6">
        <v>0.582538</v>
      </c>
      <c r="F27" s="7">
        <v>-26.968399999999999</v>
      </c>
      <c r="G27" s="6">
        <v>9.21505E+18</v>
      </c>
      <c r="H27" s="6">
        <v>61572700000000</v>
      </c>
      <c r="I27" s="6">
        <f t="shared" si="0"/>
        <v>6702056090.4603262</v>
      </c>
      <c r="J27" s="6">
        <v>-6.2431399999999994E-8</v>
      </c>
      <c r="K27" s="6">
        <v>4.4243800000000002</v>
      </c>
      <c r="L27" s="6">
        <v>8.1415100000000004E-2</v>
      </c>
      <c r="M27" s="6">
        <v>1.2086299999999999E-13</v>
      </c>
    </row>
    <row r="28" spans="1:13">
      <c r="A28" s="5">
        <v>400</v>
      </c>
      <c r="B28" t="s">
        <v>53</v>
      </c>
      <c r="C28" s="6">
        <v>9.9980984641013137E+19</v>
      </c>
      <c r="D28" s="6">
        <v>-9.9980984641013137E+19</v>
      </c>
      <c r="E28" s="6">
        <v>0.58224699999999996</v>
      </c>
      <c r="F28" s="7">
        <v>-36.332900000000002</v>
      </c>
      <c r="G28" s="6">
        <v>8.95597E+18</v>
      </c>
      <c r="H28" s="6">
        <v>80730800000000</v>
      </c>
      <c r="I28" s="6">
        <f t="shared" si="0"/>
        <v>11822593495.915287</v>
      </c>
      <c r="J28" s="6">
        <v>-6.3756099999999997E-8</v>
      </c>
      <c r="K28" s="6">
        <v>4.4155499999999996</v>
      </c>
      <c r="L28" s="6">
        <v>0.12967200000000001</v>
      </c>
      <c r="M28" s="6">
        <v>1.2062099999999999E-13</v>
      </c>
    </row>
    <row r="29" spans="1:13">
      <c r="A29" s="5">
        <v>500</v>
      </c>
      <c r="B29" t="s">
        <v>53</v>
      </c>
      <c r="C29" s="6">
        <v>1.000203254054266E+20</v>
      </c>
      <c r="D29" s="6">
        <v>-1.000203254054266E+20</v>
      </c>
      <c r="E29" s="6">
        <v>0.58180900000000002</v>
      </c>
      <c r="F29" s="7">
        <v>-44.883399999999988</v>
      </c>
      <c r="G29" s="6">
        <v>8.71663E+18</v>
      </c>
      <c r="H29" s="6">
        <v>98293500000000</v>
      </c>
      <c r="I29" s="6">
        <f t="shared" si="0"/>
        <v>17559821942.246151</v>
      </c>
      <c r="J29" s="6">
        <v>-6.5299900000000004E-8</v>
      </c>
      <c r="K29" s="6">
        <v>4.4806100000000004</v>
      </c>
      <c r="L29" s="6">
        <v>0.21695200000000001</v>
      </c>
      <c r="M29" s="6">
        <v>1.2239899999999999E-13</v>
      </c>
    </row>
    <row r="30" spans="1:13">
      <c r="A30" s="5">
        <v>600</v>
      </c>
      <c r="B30" t="s">
        <v>53</v>
      </c>
      <c r="C30" s="6">
        <v>1.0000202737546681E+20</v>
      </c>
      <c r="D30" s="6">
        <v>-1.0000202737546681E+20</v>
      </c>
      <c r="E30" s="6">
        <v>0.58115399999999995</v>
      </c>
      <c r="F30" s="7">
        <v>-53.891100000000002</v>
      </c>
      <c r="G30" s="6">
        <v>8.43457E+18</v>
      </c>
      <c r="H30" s="6">
        <v>113105000000000</v>
      </c>
      <c r="I30" s="6">
        <f t="shared" si="0"/>
        <v>24496105482.652889</v>
      </c>
      <c r="J30" s="6">
        <v>-6.7507100000000002E-8</v>
      </c>
      <c r="K30" s="6">
        <v>4.6189299999999998</v>
      </c>
      <c r="L30" s="6">
        <v>0.35954799999999998</v>
      </c>
      <c r="M30" s="6">
        <v>1.2617700000000001E-13</v>
      </c>
    </row>
    <row r="31" spans="1:13">
      <c r="A31" s="5">
        <v>700</v>
      </c>
      <c r="B31" t="s">
        <v>53</v>
      </c>
      <c r="C31" s="6">
        <v>9.9917124516453564E+19</v>
      </c>
      <c r="D31" s="6">
        <v>-9.9917124516453564E+19</v>
      </c>
      <c r="E31" s="6">
        <v>0.58023899999999995</v>
      </c>
      <c r="F31" s="7">
        <v>-63.621099999999998</v>
      </c>
      <c r="G31" s="6">
        <v>8.07907E+18</v>
      </c>
      <c r="H31" s="6">
        <v>123893000000000</v>
      </c>
      <c r="I31" s="6">
        <f t="shared" si="0"/>
        <v>32701202161.637157</v>
      </c>
      <c r="J31" s="6">
        <v>-7.0771200000000003E-8</v>
      </c>
      <c r="K31" s="6">
        <v>4.8033599999999996</v>
      </c>
      <c r="L31" s="6">
        <v>0.55435900000000005</v>
      </c>
      <c r="M31" s="6">
        <v>1.3121500000000001E-13</v>
      </c>
    </row>
    <row r="32" spans="1:13">
      <c r="A32" s="5">
        <v>800</v>
      </c>
      <c r="B32" t="s">
        <v>53</v>
      </c>
      <c r="C32" s="6">
        <v>1.00021972228123E+20</v>
      </c>
      <c r="D32" s="6">
        <v>-1.00021972228123E+20</v>
      </c>
      <c r="E32" s="6">
        <v>0.57908400000000004</v>
      </c>
      <c r="F32" s="7">
        <v>-73.959000000000003</v>
      </c>
      <c r="G32" s="6">
        <v>7.65715E+18</v>
      </c>
      <c r="H32" s="6">
        <v>130230000000000</v>
      </c>
      <c r="I32" s="6">
        <f t="shared" si="0"/>
        <v>41884102685.469154</v>
      </c>
      <c r="J32" s="6">
        <v>-7.5177300000000002E-8</v>
      </c>
      <c r="K32" s="6">
        <v>5.0016600000000002</v>
      </c>
      <c r="L32" s="6">
        <v>0.78649999999999998</v>
      </c>
      <c r="M32" s="6">
        <v>1.3663199999999999E-13</v>
      </c>
    </row>
    <row r="33" spans="1:13">
      <c r="A33" s="5">
        <v>900</v>
      </c>
      <c r="B33" t="s">
        <v>53</v>
      </c>
      <c r="C33" s="6">
        <v>9.9976959074421981E+19</v>
      </c>
      <c r="D33" s="6">
        <v>-9.9976959074421981E+19</v>
      </c>
      <c r="E33" s="6">
        <v>0.57767800000000002</v>
      </c>
      <c r="F33" s="7">
        <v>-84.871799999999993</v>
      </c>
      <c r="G33" s="6">
        <v>7.16759E+18</v>
      </c>
      <c r="H33" s="6">
        <v>132294000000000</v>
      </c>
      <c r="I33" s="6">
        <f t="shared" si="0"/>
        <v>51629745094.601868</v>
      </c>
      <c r="J33" s="6">
        <v>-8.1049300000000003E-8</v>
      </c>
      <c r="K33" s="6">
        <v>5.1623000000000001</v>
      </c>
      <c r="L33" s="6">
        <v>1.03668</v>
      </c>
      <c r="M33" s="6">
        <v>1.4101999999999999E-13</v>
      </c>
    </row>
    <row r="34" spans="1:13">
      <c r="A34" s="5">
        <v>300</v>
      </c>
      <c r="B34" t="s">
        <v>53</v>
      </c>
      <c r="C34" s="6">
        <v>4.9985643342567227E+19</v>
      </c>
      <c r="D34" s="6">
        <v>-4.9985643342567227E+19</v>
      </c>
      <c r="E34" s="6">
        <v>0.57466700000000004</v>
      </c>
      <c r="F34" s="7">
        <v>-28.274899999999999</v>
      </c>
      <c r="G34" s="6">
        <v>5.72513E+18</v>
      </c>
      <c r="H34" s="6">
        <v>40242900000000</v>
      </c>
      <c r="I34" s="6">
        <f t="shared" si="0"/>
        <v>4577069509.4033508</v>
      </c>
      <c r="J34" s="6">
        <v>-1.2680900000000001E-7</v>
      </c>
      <c r="K34" s="6">
        <v>2.7643800000000001</v>
      </c>
      <c r="L34" s="6">
        <v>4.8521599999999998E-2</v>
      </c>
      <c r="M34" s="6">
        <v>7.5515699999999994E-14</v>
      </c>
    </row>
    <row r="35" spans="1:13">
      <c r="A35" s="5">
        <v>400</v>
      </c>
      <c r="B35" t="s">
        <v>53</v>
      </c>
      <c r="C35" s="6">
        <v>4.9995890239344689E+19</v>
      </c>
      <c r="D35" s="6">
        <v>-4.9995890239344689E+19</v>
      </c>
      <c r="E35" s="6">
        <v>0.57440100000000005</v>
      </c>
      <c r="F35" s="7">
        <v>-45.936999999999998</v>
      </c>
      <c r="G35" s="6">
        <v>5.62224E+18</v>
      </c>
      <c r="H35" s="6">
        <v>51924900000000</v>
      </c>
      <c r="I35" s="6">
        <f t="shared" si="0"/>
        <v>11864095651.630558</v>
      </c>
      <c r="J35" s="6">
        <v>-1.2824099999999999E-7</v>
      </c>
      <c r="K35" s="6">
        <v>2.7313200000000002</v>
      </c>
      <c r="L35" s="6">
        <v>6.91441E-2</v>
      </c>
      <c r="M35" s="6">
        <v>7.4612599999999996E-14</v>
      </c>
    </row>
    <row r="36" spans="1:13">
      <c r="A36" s="5">
        <v>500</v>
      </c>
      <c r="B36" t="s">
        <v>53</v>
      </c>
      <c r="C36" s="6">
        <v>5.000137964833262E+19</v>
      </c>
      <c r="D36" s="6">
        <v>-5.000137964833262E+19</v>
      </c>
      <c r="E36" s="6">
        <v>0.57400799999999996</v>
      </c>
      <c r="F36" s="7">
        <v>-60.782400000000003</v>
      </c>
      <c r="G36" s="6">
        <v>5.50357E+18</v>
      </c>
      <c r="H36" s="6">
        <v>61946800000000</v>
      </c>
      <c r="I36" s="6">
        <f t="shared" si="0"/>
        <v>20332940189.214645</v>
      </c>
      <c r="J36" s="6">
        <v>-1.2980499999999999E-7</v>
      </c>
      <c r="K36" s="6">
        <v>2.7058800000000001</v>
      </c>
      <c r="L36" s="6">
        <v>9.9757999999999999E-2</v>
      </c>
      <c r="M36" s="6">
        <v>7.3917600000000005E-14</v>
      </c>
    </row>
    <row r="37" spans="1:13">
      <c r="A37" s="5">
        <v>600</v>
      </c>
      <c r="B37" t="s">
        <v>53</v>
      </c>
      <c r="C37" s="6">
        <v>4.9988205066761593E+19</v>
      </c>
      <c r="D37" s="6">
        <v>-4.9988205066761593E+19</v>
      </c>
      <c r="E37" s="6">
        <v>0.57346699999999995</v>
      </c>
      <c r="F37" s="7">
        <v>-74.030299999999997</v>
      </c>
      <c r="G37" s="6">
        <v>5.35315E+18</v>
      </c>
      <c r="H37" s="6">
        <v>70376800000000</v>
      </c>
      <c r="I37" s="6">
        <f t="shared" si="0"/>
        <v>29337859980.533485</v>
      </c>
      <c r="J37" s="6">
        <v>-1.3222400000000001E-7</v>
      </c>
      <c r="K37" s="6">
        <v>2.6958299999999999</v>
      </c>
      <c r="L37" s="6">
        <v>0.15259</v>
      </c>
      <c r="M37" s="6">
        <v>7.3643000000000005E-14</v>
      </c>
    </row>
    <row r="38" spans="1:13">
      <c r="A38" s="5">
        <v>700</v>
      </c>
      <c r="B38" t="s">
        <v>53</v>
      </c>
      <c r="C38" s="6">
        <v>5.000339243162819E+19</v>
      </c>
      <c r="D38" s="6">
        <v>-5.000339243162819E+19</v>
      </c>
      <c r="E38" s="6">
        <v>0.57274099999999994</v>
      </c>
      <c r="F38" s="7">
        <v>-86.702500000000001</v>
      </c>
      <c r="G38" s="6">
        <v>5.15967E+18</v>
      </c>
      <c r="H38" s="6">
        <v>77074800000000</v>
      </c>
      <c r="I38" s="6">
        <f t="shared" ref="I38:I69" si="1">(F38/1000000)^2*G38</f>
        <v>38786908575.492943</v>
      </c>
      <c r="J38" s="6">
        <v>-1.3602E-7</v>
      </c>
      <c r="K38" s="6">
        <v>2.7101999999999999</v>
      </c>
      <c r="L38" s="6">
        <v>0.23998800000000001</v>
      </c>
      <c r="M38" s="6">
        <v>7.4035699999999997E-14</v>
      </c>
    </row>
    <row r="39" spans="1:13">
      <c r="A39" s="5">
        <v>800</v>
      </c>
      <c r="B39" t="s">
        <v>53</v>
      </c>
      <c r="C39" s="6">
        <v>4.998710718496401E+19</v>
      </c>
      <c r="D39" s="6">
        <v>-4.998710718496401E+19</v>
      </c>
      <c r="E39" s="6">
        <v>0.57177800000000001</v>
      </c>
      <c r="F39" s="7">
        <v>-99.385400000000004</v>
      </c>
      <c r="G39" s="6">
        <v>4.90957E+18</v>
      </c>
      <c r="H39" s="6">
        <v>81795300000000</v>
      </c>
      <c r="I39" s="6">
        <f t="shared" si="1"/>
        <v>48494070162.990341</v>
      </c>
      <c r="J39" s="6">
        <v>-1.41953E-7</v>
      </c>
      <c r="K39" s="6">
        <v>2.7466599999999999</v>
      </c>
      <c r="L39" s="6">
        <v>0.368008</v>
      </c>
      <c r="M39" s="6">
        <v>7.5031699999999994E-14</v>
      </c>
    </row>
    <row r="40" spans="1:13">
      <c r="A40" s="5">
        <v>900</v>
      </c>
      <c r="B40" t="s">
        <v>53</v>
      </c>
      <c r="C40" s="6">
        <v>4.9992230633352741E+19</v>
      </c>
      <c r="D40" s="6">
        <v>-4.9992230633352741E+19</v>
      </c>
      <c r="E40" s="6">
        <v>0.570577</v>
      </c>
      <c r="F40" s="7">
        <v>-112.081</v>
      </c>
      <c r="G40" s="6">
        <v>4.61243E+18</v>
      </c>
      <c r="H40" s="6">
        <v>85105200000000</v>
      </c>
      <c r="I40" s="6">
        <f t="shared" si="1"/>
        <v>57942040112.073227</v>
      </c>
      <c r="J40" s="6">
        <v>-1.5014099999999999E-7</v>
      </c>
      <c r="K40" s="6">
        <v>2.8048700000000002</v>
      </c>
      <c r="L40" s="6">
        <v>0.53933699999999996</v>
      </c>
      <c r="M40" s="6">
        <v>7.6621799999999997E-14</v>
      </c>
    </row>
    <row r="41" spans="1:13">
      <c r="A41" s="5">
        <v>300</v>
      </c>
      <c r="B41" t="s">
        <v>53</v>
      </c>
      <c r="C41" s="6">
        <v>1.999864886421724E+19</v>
      </c>
      <c r="D41" s="6">
        <v>-1.999864886421724E+19</v>
      </c>
      <c r="E41" s="6">
        <v>0.56690600000000002</v>
      </c>
      <c r="F41" s="7">
        <v>-54.0214</v>
      </c>
      <c r="G41" s="6">
        <v>2.76341E+18</v>
      </c>
      <c r="H41" s="6">
        <v>21828100000000</v>
      </c>
      <c r="I41" s="6">
        <f t="shared" si="1"/>
        <v>8064491618.7232428</v>
      </c>
      <c r="J41" s="6">
        <v>-3.3471699999999999E-7</v>
      </c>
      <c r="K41" s="6">
        <v>1.4728600000000001</v>
      </c>
      <c r="L41" s="6">
        <v>2.9479499999999999E-2</v>
      </c>
      <c r="M41" s="6">
        <v>4.0234600000000001E-14</v>
      </c>
    </row>
    <row r="42" spans="1:13">
      <c r="A42" s="5">
        <v>400</v>
      </c>
      <c r="B42" t="s">
        <v>53</v>
      </c>
      <c r="C42" s="6">
        <v>1.999572117942367E+19</v>
      </c>
      <c r="D42" s="6">
        <v>-1.999572117942367E+19</v>
      </c>
      <c r="E42" s="6">
        <v>0.566527</v>
      </c>
      <c r="F42" s="7">
        <v>-76.059899999999999</v>
      </c>
      <c r="G42" s="6">
        <v>2.78968E+18</v>
      </c>
      <c r="H42" s="6">
        <v>26375400000000</v>
      </c>
      <c r="I42" s="6">
        <f t="shared" si="1"/>
        <v>16138601167.863733</v>
      </c>
      <c r="J42" s="6">
        <v>-3.2710499999999999E-7</v>
      </c>
      <c r="K42" s="6">
        <v>1.48478</v>
      </c>
      <c r="L42" s="6">
        <v>3.9742E-2</v>
      </c>
      <c r="M42" s="6">
        <v>4.0560200000000001E-14</v>
      </c>
    </row>
    <row r="43" spans="1:13">
      <c r="A43" s="5">
        <v>500</v>
      </c>
      <c r="B43" t="s">
        <v>53</v>
      </c>
      <c r="C43" s="6">
        <v>2.0026827830355259E+19</v>
      </c>
      <c r="D43" s="6">
        <v>-2.0026827830355259E+19</v>
      </c>
      <c r="E43" s="6">
        <v>0.56602200000000003</v>
      </c>
      <c r="F43" s="7">
        <v>-94.706400000000002</v>
      </c>
      <c r="G43" s="6">
        <v>2.74631E+18</v>
      </c>
      <c r="H43" s="6">
        <v>30454000000000</v>
      </c>
      <c r="I43" s="6">
        <f t="shared" si="1"/>
        <v>24632484327.518459</v>
      </c>
      <c r="J43" s="6">
        <v>-3.2681299999999998E-7</v>
      </c>
      <c r="K43" s="6">
        <v>1.4642500000000001</v>
      </c>
      <c r="L43" s="6">
        <v>5.3037099999999997E-2</v>
      </c>
      <c r="M43" s="6">
        <v>3.9999400000000001E-14</v>
      </c>
    </row>
    <row r="44" spans="1:13">
      <c r="A44" s="5">
        <v>600</v>
      </c>
      <c r="B44" t="s">
        <v>53</v>
      </c>
      <c r="C44" s="6">
        <v>1.9993159455229301E+19</v>
      </c>
      <c r="D44" s="6">
        <v>-1.9993159455229301E+19</v>
      </c>
      <c r="E44" s="6">
        <v>0.565357</v>
      </c>
      <c r="F44" s="7">
        <v>-112.011</v>
      </c>
      <c r="G44" s="6">
        <v>2.66323E+18</v>
      </c>
      <c r="H44" s="6">
        <v>34060500000000</v>
      </c>
      <c r="I44" s="6">
        <f t="shared" si="1"/>
        <v>33414119640.970829</v>
      </c>
      <c r="J44" s="6">
        <v>-3.3082500000000003E-7</v>
      </c>
      <c r="K44" s="6">
        <v>1.4298999999999999</v>
      </c>
      <c r="L44" s="6">
        <v>7.4415400000000007E-2</v>
      </c>
      <c r="M44" s="6">
        <v>3.9061199999999998E-14</v>
      </c>
    </row>
    <row r="45" spans="1:13">
      <c r="A45" s="5">
        <v>700</v>
      </c>
      <c r="B45" t="s">
        <v>53</v>
      </c>
      <c r="C45" s="6">
        <v>1.99937083961281E+19</v>
      </c>
      <c r="D45" s="6">
        <v>-1.99937083961281E+19</v>
      </c>
      <c r="E45" s="6">
        <v>0.564558</v>
      </c>
      <c r="F45" s="7">
        <v>-128.16499999999999</v>
      </c>
      <c r="G45" s="6">
        <v>2.56479E+18</v>
      </c>
      <c r="H45" s="6">
        <v>37579900000000</v>
      </c>
      <c r="I45" s="6">
        <f t="shared" si="1"/>
        <v>42129925916.007744</v>
      </c>
      <c r="J45" s="6">
        <v>-3.36261E-7</v>
      </c>
      <c r="K45" s="6">
        <v>1.40168</v>
      </c>
      <c r="L45" s="6">
        <v>0.114648</v>
      </c>
      <c r="M45" s="6">
        <v>3.8290200000000002E-14</v>
      </c>
    </row>
    <row r="46" spans="1:13">
      <c r="A46" s="5">
        <v>800</v>
      </c>
      <c r="B46" t="s">
        <v>53</v>
      </c>
      <c r="C46" s="6">
        <v>2.0001942509609988E+19</v>
      </c>
      <c r="D46" s="6">
        <v>-2.0001942509609988E+19</v>
      </c>
      <c r="E46" s="6">
        <v>0.56362000000000001</v>
      </c>
      <c r="F46" s="7">
        <v>-142.809</v>
      </c>
      <c r="G46" s="6">
        <v>2.4578E+18</v>
      </c>
      <c r="H46" s="6">
        <v>41905300000000</v>
      </c>
      <c r="I46" s="6">
        <f t="shared" si="1"/>
        <v>50125382080.201805</v>
      </c>
      <c r="J46" s="6">
        <v>-3.42448E-7</v>
      </c>
      <c r="K46" s="6">
        <v>1.3984099999999999</v>
      </c>
      <c r="L46" s="6">
        <v>0.19024199999999999</v>
      </c>
      <c r="M46" s="6">
        <v>3.8201E-14</v>
      </c>
    </row>
    <row r="47" spans="1:13">
      <c r="A47" s="5">
        <v>900</v>
      </c>
      <c r="B47" t="s">
        <v>53</v>
      </c>
      <c r="C47" s="6">
        <v>2.0005236155002741E+19</v>
      </c>
      <c r="D47" s="6">
        <v>-2.0005236155002741E+19</v>
      </c>
      <c r="E47" s="6">
        <v>0.56259599999999998</v>
      </c>
      <c r="F47" s="7">
        <v>-154.61799999999999</v>
      </c>
      <c r="G47" s="6">
        <v>2.36132E+18</v>
      </c>
      <c r="H47" s="6">
        <v>49047400000000</v>
      </c>
      <c r="I47" s="6">
        <f t="shared" si="1"/>
        <v>56451430058.85968</v>
      </c>
      <c r="J47" s="6">
        <v>-3.4608199999999999E-7</v>
      </c>
      <c r="K47" s="6">
        <v>1.45289</v>
      </c>
      <c r="L47" s="6">
        <v>0.32374599999999998</v>
      </c>
      <c r="M47" s="6">
        <v>3.9689099999999997E-14</v>
      </c>
    </row>
    <row r="48" spans="1:13">
      <c r="A48" s="5">
        <v>300</v>
      </c>
      <c r="B48" t="s">
        <v>53</v>
      </c>
      <c r="C48" s="6">
        <v>9.9943290699296031E+18</v>
      </c>
      <c r="D48" s="6">
        <v>-9.9943290699296031E+18</v>
      </c>
      <c r="E48" s="6">
        <v>0.56261899999999998</v>
      </c>
      <c r="F48" s="7">
        <v>-82.99430000000001</v>
      </c>
      <c r="G48" s="6">
        <v>1.71731E+18</v>
      </c>
      <c r="H48" s="6">
        <v>10610300000000</v>
      </c>
      <c r="I48" s="6">
        <f t="shared" si="1"/>
        <v>11828923727.073404</v>
      </c>
      <c r="J48" s="6">
        <v>-6.2656199999999997E-7</v>
      </c>
      <c r="K48" s="6">
        <v>1.0229600000000001</v>
      </c>
      <c r="L48" s="6">
        <v>1.8789199999999999E-2</v>
      </c>
      <c r="M48" s="6">
        <v>2.7944600000000001E-14</v>
      </c>
    </row>
    <row r="49" spans="1:13">
      <c r="A49" s="5">
        <v>400</v>
      </c>
      <c r="B49" t="s">
        <v>53</v>
      </c>
      <c r="C49" s="6">
        <v>1.00036061711192E+19</v>
      </c>
      <c r="D49" s="6">
        <v>-1.00036061711192E+19</v>
      </c>
      <c r="E49" s="6">
        <v>0.56209699999999996</v>
      </c>
      <c r="F49" s="7">
        <v>-104.145</v>
      </c>
      <c r="G49" s="6">
        <v>1.63826E+18</v>
      </c>
      <c r="H49" s="6">
        <v>13825800000000</v>
      </c>
      <c r="I49" s="6">
        <f t="shared" si="1"/>
        <v>17768864526.016499</v>
      </c>
      <c r="J49" s="6">
        <v>-6.4288999999999996E-7</v>
      </c>
      <c r="K49" s="6">
        <v>0.97882999999999998</v>
      </c>
      <c r="L49" s="6">
        <v>2.6296900000000002E-2</v>
      </c>
      <c r="M49" s="6">
        <v>2.6739099999999999E-14</v>
      </c>
    </row>
    <row r="50" spans="1:13">
      <c r="A50" s="5">
        <v>500</v>
      </c>
      <c r="B50" t="s">
        <v>53</v>
      </c>
      <c r="C50" s="6">
        <v>1.0001227427224431E+19</v>
      </c>
      <c r="D50" s="6">
        <v>-1.0001227427224431E+19</v>
      </c>
      <c r="E50" s="6">
        <v>0.56142800000000004</v>
      </c>
      <c r="F50" s="7">
        <v>-126.77</v>
      </c>
      <c r="G50" s="6">
        <v>1.57118E+18</v>
      </c>
      <c r="H50" s="6">
        <v>16377900000000</v>
      </c>
      <c r="I50" s="6">
        <f t="shared" si="1"/>
        <v>25249856999.822002</v>
      </c>
      <c r="J50" s="6">
        <v>-6.5229599999999998E-7</v>
      </c>
      <c r="K50" s="6">
        <v>0.93451200000000001</v>
      </c>
      <c r="L50" s="6">
        <v>3.6158500000000003E-2</v>
      </c>
      <c r="M50" s="6">
        <v>2.55284E-14</v>
      </c>
    </row>
    <row r="51" spans="1:13">
      <c r="A51" s="5">
        <v>600</v>
      </c>
      <c r="B51" t="s">
        <v>53</v>
      </c>
      <c r="C51" s="6">
        <v>9.9943656659895214E+18</v>
      </c>
      <c r="D51" s="6">
        <v>-9.9943656659895214E+18</v>
      </c>
      <c r="E51" s="6">
        <v>0.56061099999999997</v>
      </c>
      <c r="F51" s="7">
        <v>-147.82900000000001</v>
      </c>
      <c r="G51" s="6">
        <v>1.50614E+18</v>
      </c>
      <c r="H51" s="6">
        <v>18724200000000</v>
      </c>
      <c r="I51" s="6">
        <f t="shared" si="1"/>
        <v>32914299818.799747</v>
      </c>
      <c r="J51" s="6">
        <v>-6.5958200000000004E-7</v>
      </c>
      <c r="K51" s="6">
        <v>0.89266699999999999</v>
      </c>
      <c r="L51" s="6">
        <v>5.33258E-2</v>
      </c>
      <c r="M51" s="6">
        <v>2.4385300000000001E-14</v>
      </c>
    </row>
    <row r="52" spans="1:13">
      <c r="A52" s="5">
        <v>700</v>
      </c>
      <c r="B52" t="s">
        <v>53</v>
      </c>
      <c r="C52" s="6">
        <v>9.9986291069701448E+18</v>
      </c>
      <c r="D52" s="6">
        <v>-9.9986291069701448E+18</v>
      </c>
      <c r="E52" s="6">
        <v>0.559697</v>
      </c>
      <c r="F52" s="7">
        <v>-165.55799999999999</v>
      </c>
      <c r="G52" s="6">
        <v>1.45251E+18</v>
      </c>
      <c r="H52" s="6">
        <v>22044800000000</v>
      </c>
      <c r="I52" s="6">
        <f t="shared" si="1"/>
        <v>39812502200.72364</v>
      </c>
      <c r="J52" s="6">
        <v>-6.5996100000000002E-7</v>
      </c>
      <c r="K52" s="6">
        <v>0.87182999999999999</v>
      </c>
      <c r="L52" s="6">
        <v>9.0284799999999998E-2</v>
      </c>
      <c r="M52" s="6">
        <v>2.3816100000000001E-14</v>
      </c>
    </row>
    <row r="53" spans="1:13">
      <c r="A53" s="5">
        <v>800</v>
      </c>
      <c r="B53" t="s">
        <v>53</v>
      </c>
      <c r="C53" s="6">
        <v>1.000571044456457E+19</v>
      </c>
      <c r="D53" s="6">
        <v>-1.000571044456457E+19</v>
      </c>
      <c r="E53" s="6">
        <v>0.558813</v>
      </c>
      <c r="F53" s="7">
        <v>-177.31800000000001</v>
      </c>
      <c r="G53" s="6">
        <v>1.43283E+18</v>
      </c>
      <c r="H53" s="6">
        <v>28588500000000</v>
      </c>
      <c r="I53" s="6">
        <f t="shared" si="1"/>
        <v>45050572502.260925</v>
      </c>
      <c r="J53" s="6">
        <v>-6.4070200000000002E-7</v>
      </c>
      <c r="K53" s="6">
        <v>0.90738600000000003</v>
      </c>
      <c r="L53" s="6">
        <v>0.16889799999999999</v>
      </c>
      <c r="M53" s="6">
        <v>2.4787399999999999E-14</v>
      </c>
    </row>
    <row r="54" spans="1:13">
      <c r="A54" s="5">
        <v>900</v>
      </c>
      <c r="B54" t="s">
        <v>53</v>
      </c>
      <c r="C54" s="6">
        <v>1.0002197222812299E+19</v>
      </c>
      <c r="D54" s="6">
        <v>-1.0002197222812299E+19</v>
      </c>
      <c r="E54" s="6">
        <v>0.55815199999999998</v>
      </c>
      <c r="F54" s="7">
        <v>-180.48400000000001</v>
      </c>
      <c r="G54" s="6">
        <v>1.47714E+18</v>
      </c>
      <c r="H54" s="6">
        <v>41124400000000</v>
      </c>
      <c r="I54" s="6">
        <f t="shared" si="1"/>
        <v>48117058902.507851</v>
      </c>
      <c r="J54" s="6">
        <v>-5.8858400000000005E-7</v>
      </c>
      <c r="K54" s="6">
        <v>1.0455099999999999</v>
      </c>
      <c r="L54" s="6">
        <v>0.316085</v>
      </c>
      <c r="M54" s="6">
        <v>2.8560599999999999E-14</v>
      </c>
    </row>
    <row r="55" spans="1:13">
      <c r="A55" s="5">
        <v>300</v>
      </c>
      <c r="B55" t="s">
        <v>54</v>
      </c>
      <c r="C55" s="6">
        <v>1.001332242502783E+19</v>
      </c>
      <c r="D55" s="6">
        <v>1.001332242502783E+19</v>
      </c>
      <c r="E55" s="6">
        <v>0.53096699999999997</v>
      </c>
      <c r="F55" s="7">
        <v>337.03500000000003</v>
      </c>
      <c r="G55" s="6">
        <v>2.35402E+17</v>
      </c>
      <c r="H55" s="6">
        <v>1277860000000</v>
      </c>
      <c r="I55" s="6">
        <f t="shared" si="1"/>
        <v>26739923159.547451</v>
      </c>
      <c r="J55" s="6">
        <v>8.4756199999999995E-7</v>
      </c>
      <c r="K55" s="6">
        <v>2.66269</v>
      </c>
      <c r="L55" s="6">
        <v>0.16578999999999999</v>
      </c>
      <c r="M55" s="6">
        <v>7.2737699999999999E-14</v>
      </c>
    </row>
    <row r="56" spans="1:13">
      <c r="A56" s="5">
        <v>400</v>
      </c>
      <c r="B56" t="s">
        <v>54</v>
      </c>
      <c r="C56" s="6">
        <v>9.9975129271426007E+18</v>
      </c>
      <c r="D56" s="6">
        <v>9.9975129271426007E+18</v>
      </c>
      <c r="E56" s="6">
        <v>0.53313500000000003</v>
      </c>
      <c r="F56" s="7">
        <v>379.17899999999997</v>
      </c>
      <c r="G56" s="6">
        <v>2.20002E+17</v>
      </c>
      <c r="H56" s="6">
        <v>1632470000000</v>
      </c>
      <c r="I56" s="6">
        <f t="shared" si="1"/>
        <v>31631164642.448082</v>
      </c>
      <c r="J56" s="6">
        <v>8.1679900000000003E-7</v>
      </c>
      <c r="K56" s="6">
        <v>2.05918</v>
      </c>
      <c r="L56" s="6">
        <v>0.23049</v>
      </c>
      <c r="M56" s="6">
        <v>5.6251400000000001E-14</v>
      </c>
    </row>
    <row r="57" spans="1:13">
      <c r="A57" s="5">
        <v>500</v>
      </c>
      <c r="B57" t="s">
        <v>54</v>
      </c>
      <c r="C57" s="6">
        <v>9.987174540215337E+18</v>
      </c>
      <c r="D57" s="6">
        <v>9.987174540215337E+18</v>
      </c>
      <c r="E57" s="6">
        <v>0.53564100000000003</v>
      </c>
      <c r="F57" s="7">
        <v>405.87900000000002</v>
      </c>
      <c r="G57" s="6">
        <v>2.04406E+17</v>
      </c>
      <c r="H57" s="6">
        <v>2754190000000</v>
      </c>
      <c r="I57" s="6">
        <f t="shared" si="1"/>
        <v>33673387110.396248</v>
      </c>
      <c r="J57" s="6">
        <v>7.4016600000000004E-7</v>
      </c>
      <c r="K57" s="6">
        <v>1.6758599999999999</v>
      </c>
      <c r="L57" s="6">
        <v>0.29760199999999998</v>
      </c>
      <c r="M57" s="6">
        <v>4.5780000000000002E-14</v>
      </c>
    </row>
    <row r="58" spans="1:13">
      <c r="A58" s="5">
        <v>600</v>
      </c>
      <c r="B58" t="s">
        <v>54</v>
      </c>
      <c r="C58" s="6">
        <v>9.9942924738696827E+18</v>
      </c>
      <c r="D58" s="6">
        <v>9.9942924738696827E+18</v>
      </c>
      <c r="E58" s="6">
        <v>0.53842999999999996</v>
      </c>
      <c r="F58" s="7">
        <v>384.55200000000002</v>
      </c>
      <c r="G58" s="6">
        <v>1.97387E+17</v>
      </c>
      <c r="H58" s="6">
        <v>8128270000000</v>
      </c>
      <c r="I58" s="6">
        <f t="shared" si="1"/>
        <v>29189637071.84045</v>
      </c>
      <c r="J58" s="6">
        <v>3.4743399999999999E-7</v>
      </c>
      <c r="K58" s="6">
        <v>1.4257599999999999</v>
      </c>
      <c r="L58" s="6">
        <v>0.36835200000000001</v>
      </c>
      <c r="M58" s="6">
        <v>3.8948000000000001E-14</v>
      </c>
    </row>
    <row r="59" spans="1:13">
      <c r="A59" s="5">
        <v>700</v>
      </c>
      <c r="B59" t="s">
        <v>54</v>
      </c>
      <c r="C59" s="6">
        <v>9.9983912325806674E+18</v>
      </c>
      <c r="D59" s="6">
        <v>9.9983912325806674E+18</v>
      </c>
      <c r="E59" s="6">
        <v>0.54142000000000001</v>
      </c>
      <c r="F59" s="7">
        <v>263.23</v>
      </c>
      <c r="G59" s="6">
        <v>2.19541E+17</v>
      </c>
      <c r="H59" s="6">
        <v>23878200000000</v>
      </c>
      <c r="I59" s="6">
        <f t="shared" si="1"/>
        <v>15212003112.898905</v>
      </c>
      <c r="J59" s="6">
        <v>-6.5222299999999998E-7</v>
      </c>
      <c r="K59" s="6">
        <v>1.2823500000000001</v>
      </c>
      <c r="L59" s="6">
        <v>0.446106</v>
      </c>
      <c r="M59" s="6">
        <v>3.5030400000000001E-14</v>
      </c>
    </row>
    <row r="60" spans="1:13">
      <c r="A60" s="5">
        <v>800</v>
      </c>
      <c r="B60" t="s">
        <v>54</v>
      </c>
      <c r="C60" s="6">
        <v>1.000765003574031E+19</v>
      </c>
      <c r="D60" s="6">
        <v>1.000765003574031E+19</v>
      </c>
      <c r="E60" s="6">
        <v>0.544431</v>
      </c>
      <c r="F60" s="7">
        <v>84.063500000000005</v>
      </c>
      <c r="G60" s="6">
        <v>3.05772E+17</v>
      </c>
      <c r="H60" s="6">
        <v>48052000000000</v>
      </c>
      <c r="I60" s="6">
        <f t="shared" si="1"/>
        <v>2160790440.6451473</v>
      </c>
      <c r="J60" s="6">
        <v>-1.3778299999999999E-6</v>
      </c>
      <c r="K60" s="6">
        <v>1.2593799999999999</v>
      </c>
      <c r="L60" s="6">
        <v>0.54237400000000002</v>
      </c>
      <c r="M60" s="6">
        <v>3.4402899999999999E-14</v>
      </c>
    </row>
    <row r="61" spans="1:13">
      <c r="A61" s="5">
        <v>900</v>
      </c>
      <c r="B61" t="s">
        <v>54</v>
      </c>
      <c r="C61" s="6">
        <v>9.9989035774195425E+18</v>
      </c>
      <c r="D61" s="6">
        <v>9.9989035774195425E+18</v>
      </c>
      <c r="E61" s="6">
        <v>0.54725199999999996</v>
      </c>
      <c r="F61" s="7">
        <v>-40.542999999999999</v>
      </c>
      <c r="G61" s="6">
        <v>4.84674E+17</v>
      </c>
      <c r="H61" s="6">
        <v>71889900000000</v>
      </c>
      <c r="I61" s="6">
        <f t="shared" si="1"/>
        <v>796675544.20422602</v>
      </c>
      <c r="J61" s="6">
        <v>-1.2444600000000001E-6</v>
      </c>
      <c r="K61" s="6">
        <v>1.37262</v>
      </c>
      <c r="L61" s="6">
        <v>0.67758399999999996</v>
      </c>
      <c r="M61" s="6">
        <v>3.7496400000000002E-14</v>
      </c>
    </row>
    <row r="62" spans="1:13">
      <c r="A62" s="5">
        <v>300</v>
      </c>
      <c r="B62" t="s">
        <v>54</v>
      </c>
      <c r="C62" s="6">
        <v>2.001786179567498E+19</v>
      </c>
      <c r="D62" s="6">
        <v>2.001786179567498E+19</v>
      </c>
      <c r="E62" s="6">
        <v>0.529497</v>
      </c>
      <c r="F62" s="7">
        <v>280.14699999999999</v>
      </c>
      <c r="G62" s="6">
        <v>4.68102E+17</v>
      </c>
      <c r="H62" s="6">
        <v>2536040000000</v>
      </c>
      <c r="I62" s="6">
        <f t="shared" si="1"/>
        <v>36737741071.856125</v>
      </c>
      <c r="J62" s="6">
        <v>4.2117400000000001E-7</v>
      </c>
      <c r="K62" s="6">
        <v>4.9670800000000002</v>
      </c>
      <c r="L62" s="6">
        <v>0.21956400000000001</v>
      </c>
      <c r="M62" s="6">
        <v>1.3568800000000001E-13</v>
      </c>
    </row>
    <row r="63" spans="1:13">
      <c r="A63" s="5">
        <v>400</v>
      </c>
      <c r="B63" t="s">
        <v>54</v>
      </c>
      <c r="C63" s="6">
        <v>2.0004321253504762E+19</v>
      </c>
      <c r="D63" s="6">
        <v>2.0004321253504762E+19</v>
      </c>
      <c r="E63" s="6">
        <v>0.53125800000000001</v>
      </c>
      <c r="F63" s="7">
        <v>321.66399999999999</v>
      </c>
      <c r="G63" s="6">
        <v>4.37511E+17</v>
      </c>
      <c r="H63" s="6">
        <v>3161670000000</v>
      </c>
      <c r="I63" s="6">
        <f t="shared" si="1"/>
        <v>45268269537.017853</v>
      </c>
      <c r="J63" s="6">
        <v>4.07674E-7</v>
      </c>
      <c r="K63" s="6">
        <v>3.9478499999999999</v>
      </c>
      <c r="L63" s="6">
        <v>0.32231799999999999</v>
      </c>
      <c r="M63" s="6">
        <v>1.0784499999999999E-13</v>
      </c>
    </row>
    <row r="64" spans="1:13">
      <c r="A64" s="5">
        <v>500</v>
      </c>
      <c r="B64" t="s">
        <v>54</v>
      </c>
      <c r="C64" s="6">
        <v>2.0012738347286249E+19</v>
      </c>
      <c r="D64" s="6">
        <v>2.0012738347286249E+19</v>
      </c>
      <c r="E64" s="6">
        <v>0.53334700000000002</v>
      </c>
      <c r="F64" s="7">
        <v>354.524</v>
      </c>
      <c r="G64" s="6">
        <v>4.04699E+17</v>
      </c>
      <c r="H64" s="6">
        <v>4057110000000</v>
      </c>
      <c r="I64" s="6">
        <f t="shared" si="1"/>
        <v>50865511096.040627</v>
      </c>
      <c r="J64" s="6">
        <v>3.9347700000000002E-7</v>
      </c>
      <c r="K64" s="6">
        <v>3.2614999999999998</v>
      </c>
      <c r="L64" s="6">
        <v>0.43337900000000001</v>
      </c>
      <c r="M64" s="6">
        <v>8.9095699999999998E-14</v>
      </c>
    </row>
    <row r="65" spans="1:13">
      <c r="A65" s="5">
        <v>600</v>
      </c>
      <c r="B65" t="s">
        <v>54</v>
      </c>
      <c r="C65" s="6">
        <v>1.9991512632532931E+19</v>
      </c>
      <c r="D65" s="6">
        <v>1.9991512632532931E+19</v>
      </c>
      <c r="E65" s="6">
        <v>0.53573700000000002</v>
      </c>
      <c r="F65" s="7">
        <v>370.60599999999999</v>
      </c>
      <c r="G65" s="6">
        <v>3.7504E+17</v>
      </c>
      <c r="H65" s="6">
        <v>7045820000000</v>
      </c>
      <c r="I65" s="6">
        <f t="shared" si="1"/>
        <v>51511296665.789436</v>
      </c>
      <c r="J65" s="6">
        <v>3.41635E-7</v>
      </c>
      <c r="K65" s="6">
        <v>2.7735500000000002</v>
      </c>
      <c r="L65" s="6">
        <v>0.54874100000000003</v>
      </c>
      <c r="M65" s="6">
        <v>7.5766200000000004E-14</v>
      </c>
    </row>
    <row r="66" spans="1:13">
      <c r="A66" s="5">
        <v>700</v>
      </c>
      <c r="B66" t="s">
        <v>54</v>
      </c>
      <c r="C66" s="6">
        <v>1.999864886421724E+19</v>
      </c>
      <c r="D66" s="6">
        <v>1.999864886421724E+19</v>
      </c>
      <c r="E66" s="6">
        <v>0.53837599999999997</v>
      </c>
      <c r="F66" s="7">
        <v>346.46</v>
      </c>
      <c r="G66" s="6">
        <v>3.61779E+17</v>
      </c>
      <c r="H66" s="6">
        <v>17140300000000</v>
      </c>
      <c r="I66" s="6">
        <f t="shared" si="1"/>
        <v>43425972807.7164</v>
      </c>
      <c r="J66" s="6">
        <v>1.3782700000000001E-7</v>
      </c>
      <c r="K66" s="6">
        <v>2.4329100000000001</v>
      </c>
      <c r="L66" s="6">
        <v>0.66653499999999999</v>
      </c>
      <c r="M66" s="6">
        <v>6.6460799999999996E-14</v>
      </c>
    </row>
    <row r="67" spans="1:13">
      <c r="A67" s="5">
        <v>800</v>
      </c>
      <c r="B67" t="s">
        <v>54</v>
      </c>
      <c r="C67" s="6">
        <v>2.0001210588411601E+19</v>
      </c>
      <c r="D67" s="6">
        <v>2.0001210588411601E+19</v>
      </c>
      <c r="E67" s="6">
        <v>0.54119399999999995</v>
      </c>
      <c r="F67" s="7">
        <v>256.32799999999997</v>
      </c>
      <c r="G67" s="6">
        <v>3.87216E+17</v>
      </c>
      <c r="H67" s="6">
        <v>40191100000000</v>
      </c>
      <c r="I67" s="6">
        <f t="shared" si="1"/>
        <v>25441656940.422131</v>
      </c>
      <c r="J67" s="6">
        <v>-2.9167099999999999E-7</v>
      </c>
      <c r="K67" s="6">
        <v>2.21828</v>
      </c>
      <c r="L67" s="6">
        <v>0.78927700000000001</v>
      </c>
      <c r="M67" s="6">
        <v>6.0597699999999999E-14</v>
      </c>
    </row>
    <row r="68" spans="1:13">
      <c r="A68" s="5">
        <v>900</v>
      </c>
      <c r="B68" t="s">
        <v>54</v>
      </c>
      <c r="C68" s="6">
        <v>2.0006334036800332E+19</v>
      </c>
      <c r="D68" s="6">
        <v>2.0006334036800332E+19</v>
      </c>
      <c r="E68" s="6">
        <v>0.54406500000000002</v>
      </c>
      <c r="F68" s="7">
        <v>123.041</v>
      </c>
      <c r="G68" s="6">
        <v>4.82312E+17</v>
      </c>
      <c r="H68" s="6">
        <v>73471800000000</v>
      </c>
      <c r="I68" s="6">
        <f t="shared" si="1"/>
        <v>7301763657.5984716</v>
      </c>
      <c r="J68" s="6">
        <v>-6.7173700000000003E-7</v>
      </c>
      <c r="K68" s="6">
        <v>2.1404200000000002</v>
      </c>
      <c r="L68" s="6">
        <v>0.93040199999999995</v>
      </c>
      <c r="M68" s="6">
        <v>5.8470700000000002E-14</v>
      </c>
    </row>
    <row r="69" spans="1:13">
      <c r="A69" s="5">
        <v>300</v>
      </c>
      <c r="B69" t="s">
        <v>54</v>
      </c>
      <c r="C69" s="6">
        <v>5.000339243162819E+19</v>
      </c>
      <c r="D69" s="6">
        <v>5.000339243162819E+19</v>
      </c>
      <c r="E69" s="6">
        <v>0.52732199999999996</v>
      </c>
      <c r="F69" s="7">
        <v>208.161</v>
      </c>
      <c r="G69" s="6">
        <v>1.15471E+18</v>
      </c>
      <c r="H69" s="6">
        <v>6265340000000</v>
      </c>
      <c r="I69" s="6">
        <f t="shared" si="1"/>
        <v>50034741228.197914</v>
      </c>
      <c r="J69" s="6">
        <v>1.6567E-7</v>
      </c>
      <c r="K69" s="6">
        <v>10.503500000000001</v>
      </c>
      <c r="L69" s="6">
        <v>0.30251600000000001</v>
      </c>
      <c r="M69" s="6">
        <v>2.8692799999999998E-13</v>
      </c>
    </row>
    <row r="70" spans="1:13">
      <c r="A70" s="5">
        <v>400</v>
      </c>
      <c r="B70" t="s">
        <v>54</v>
      </c>
      <c r="C70" s="6">
        <v>4.9951243046242877E+19</v>
      </c>
      <c r="D70" s="6">
        <v>4.9951243046242877E+19</v>
      </c>
      <c r="E70" s="6">
        <v>0.52859699999999998</v>
      </c>
      <c r="F70" s="7">
        <v>247.72200000000001</v>
      </c>
      <c r="G70" s="6">
        <v>1.07389E+18</v>
      </c>
      <c r="H70" s="6">
        <v>7811630000000</v>
      </c>
      <c r="I70" s="6">
        <f t="shared" ref="I70:I103" si="2">(F70/1000000)^2*G70</f>
        <v>65900537010.194778</v>
      </c>
      <c r="J70" s="6">
        <v>1.6105E-7</v>
      </c>
      <c r="K70" s="6">
        <v>8.8312000000000008</v>
      </c>
      <c r="L70" s="6">
        <v>0.471389</v>
      </c>
      <c r="M70" s="6">
        <v>2.41245E-13</v>
      </c>
    </row>
    <row r="71" spans="1:13">
      <c r="A71" s="5">
        <v>500</v>
      </c>
      <c r="B71" t="s">
        <v>54</v>
      </c>
      <c r="C71" s="6">
        <v>5.0019677678292369E+19</v>
      </c>
      <c r="D71" s="6">
        <v>5.0019677678292369E+19</v>
      </c>
      <c r="E71" s="6">
        <v>0.53017099999999995</v>
      </c>
      <c r="F71" s="7">
        <v>281.20299999999997</v>
      </c>
      <c r="G71" s="6">
        <v>9.92477E+17</v>
      </c>
      <c r="H71" s="6">
        <v>9098320000000</v>
      </c>
      <c r="I71" s="6">
        <f t="shared" si="2"/>
        <v>78480245027.006699</v>
      </c>
      <c r="J71" s="6">
        <v>1.5853800000000001E-7</v>
      </c>
      <c r="K71" s="6">
        <v>7.5598900000000002</v>
      </c>
      <c r="L71" s="6">
        <v>0.67125500000000005</v>
      </c>
      <c r="M71" s="6">
        <v>2.06516E-13</v>
      </c>
    </row>
    <row r="72" spans="1:13">
      <c r="A72" s="5">
        <v>600</v>
      </c>
      <c r="B72" t="s">
        <v>54</v>
      </c>
      <c r="C72" s="6">
        <v>4.9960026100623557E+19</v>
      </c>
      <c r="D72" s="6">
        <v>4.9960026100623557E+19</v>
      </c>
      <c r="E72" s="6">
        <v>0.53203999999999996</v>
      </c>
      <c r="F72" s="7">
        <v>307.85199999999998</v>
      </c>
      <c r="G72" s="6">
        <v>9.10205E+17</v>
      </c>
      <c r="H72" s="6">
        <v>10750900000000</v>
      </c>
      <c r="I72" s="6">
        <f t="shared" si="2"/>
        <v>86262725487.690292</v>
      </c>
      <c r="J72" s="6">
        <v>1.57057E-7</v>
      </c>
      <c r="K72" s="6">
        <v>6.5618699999999999</v>
      </c>
      <c r="L72" s="6">
        <v>0.88660799999999995</v>
      </c>
      <c r="M72" s="6">
        <v>1.7925300000000001E-13</v>
      </c>
    </row>
    <row r="73" spans="1:13">
      <c r="A73" s="5">
        <v>700</v>
      </c>
      <c r="B73" t="s">
        <v>54</v>
      </c>
      <c r="C73" s="6">
        <v>4.9979056051781714E+19</v>
      </c>
      <c r="D73" s="6">
        <v>4.9979056051781714E+19</v>
      </c>
      <c r="E73" s="6">
        <v>0.53416200000000003</v>
      </c>
      <c r="F73" s="7">
        <v>323.77300000000002</v>
      </c>
      <c r="G73" s="6">
        <v>8.3766E+17</v>
      </c>
      <c r="H73" s="6">
        <v>15157700000000</v>
      </c>
      <c r="I73" s="6">
        <f t="shared" si="2"/>
        <v>87811022888.42215</v>
      </c>
      <c r="J73" s="6">
        <v>1.45894E-7</v>
      </c>
      <c r="K73" s="6">
        <v>5.7896099999999997</v>
      </c>
      <c r="L73" s="6">
        <v>1.1048100000000001</v>
      </c>
      <c r="M73" s="6">
        <v>1.5815699999999999E-13</v>
      </c>
    </row>
    <row r="74" spans="1:13">
      <c r="A74" s="5">
        <v>800</v>
      </c>
      <c r="B74" t="s">
        <v>54</v>
      </c>
      <c r="C74" s="6">
        <v>4.9996439180243476E+19</v>
      </c>
      <c r="D74" s="6">
        <v>4.9996439180243476E+19</v>
      </c>
      <c r="E74" s="6">
        <v>0.53650900000000001</v>
      </c>
      <c r="F74" s="7">
        <v>320.262</v>
      </c>
      <c r="G74" s="6">
        <v>7.85214E+17</v>
      </c>
      <c r="H74" s="6">
        <v>27065700000000</v>
      </c>
      <c r="I74" s="6">
        <f t="shared" si="2"/>
        <v>80537632183.749817</v>
      </c>
      <c r="J74" s="6">
        <v>1.0250899999999999E-7</v>
      </c>
      <c r="K74" s="6">
        <v>5.1877399999999998</v>
      </c>
      <c r="L74" s="6">
        <v>1.31704</v>
      </c>
      <c r="M74" s="6">
        <v>1.4171599999999999E-13</v>
      </c>
    </row>
    <row r="75" spans="1:13">
      <c r="A75" s="5">
        <v>900</v>
      </c>
      <c r="B75" t="s">
        <v>54</v>
      </c>
      <c r="C75" s="6">
        <v>5.0029741594770244E+19</v>
      </c>
      <c r="D75" s="6">
        <v>5.0029741594770244E+19</v>
      </c>
      <c r="E75" s="6">
        <v>0.53902899999999998</v>
      </c>
      <c r="F75" s="7">
        <v>285.13</v>
      </c>
      <c r="G75" s="6">
        <v>7.71036E+17</v>
      </c>
      <c r="H75" s="6">
        <v>52458000000000</v>
      </c>
      <c r="I75" s="6">
        <f t="shared" si="2"/>
        <v>62684545898.108391</v>
      </c>
      <c r="J75" s="6">
        <v>-2.3568399999999999E-10</v>
      </c>
      <c r="K75" s="6">
        <v>4.7386799999999996</v>
      </c>
      <c r="L75" s="6">
        <v>1.5245500000000001</v>
      </c>
      <c r="M75" s="6">
        <v>1.29448E-13</v>
      </c>
    </row>
    <row r="76" spans="1:13">
      <c r="A76" s="5">
        <v>300</v>
      </c>
      <c r="B76" t="s">
        <v>54</v>
      </c>
      <c r="C76" s="6">
        <v>1.0000001459217129E+20</v>
      </c>
      <c r="D76" s="6">
        <v>1.0000001459217129E+20</v>
      </c>
      <c r="E76" s="6">
        <v>0.52534000000000003</v>
      </c>
      <c r="F76" s="7">
        <v>157.16499999999999</v>
      </c>
      <c r="G76" s="6">
        <v>2.25187E+18</v>
      </c>
      <c r="H76" s="6">
        <v>12593200000000</v>
      </c>
      <c r="I76" s="6">
        <f t="shared" si="2"/>
        <v>55623074321.860741</v>
      </c>
      <c r="J76" s="6">
        <v>8.0982099999999996E-8</v>
      </c>
      <c r="K76" s="6">
        <v>17.281700000000001</v>
      </c>
      <c r="L76" s="6">
        <v>0.393619</v>
      </c>
      <c r="M76" s="6">
        <v>4.72092E-13</v>
      </c>
    </row>
    <row r="77" spans="1:13">
      <c r="A77" s="5">
        <v>400</v>
      </c>
      <c r="B77" t="s">
        <v>54</v>
      </c>
      <c r="C77" s="6">
        <v>9.9935971487312134E+19</v>
      </c>
      <c r="D77" s="6">
        <v>9.9935971487312134E+19</v>
      </c>
      <c r="E77" s="6">
        <v>0.52630399999999999</v>
      </c>
      <c r="F77" s="7">
        <v>195.11600000000001</v>
      </c>
      <c r="G77" s="6">
        <v>2.08452E+18</v>
      </c>
      <c r="H77" s="6">
        <v>15634300000000</v>
      </c>
      <c r="I77" s="6">
        <f t="shared" si="2"/>
        <v>79358204734.10112</v>
      </c>
      <c r="J77" s="6">
        <v>7.8597300000000002E-8</v>
      </c>
      <c r="K77" s="6">
        <v>15.329800000000001</v>
      </c>
      <c r="L77" s="6">
        <v>0.622116</v>
      </c>
      <c r="M77" s="6">
        <v>4.1876999999999999E-13</v>
      </c>
    </row>
    <row r="78" spans="1:13">
      <c r="A78" s="5">
        <v>500</v>
      </c>
      <c r="B78" t="s">
        <v>54</v>
      </c>
      <c r="C78" s="6">
        <v>1.0010449634324151E+20</v>
      </c>
      <c r="D78" s="6">
        <v>1.0010449634324151E+20</v>
      </c>
      <c r="E78" s="6">
        <v>0.52753899999999998</v>
      </c>
      <c r="F78" s="7">
        <v>227.316</v>
      </c>
      <c r="G78" s="6">
        <v>1.92903E+18</v>
      </c>
      <c r="H78" s="6">
        <v>17814200000000</v>
      </c>
      <c r="I78" s="6">
        <f t="shared" si="2"/>
        <v>99677925855.139679</v>
      </c>
      <c r="J78" s="6">
        <v>7.7985900000000002E-8</v>
      </c>
      <c r="K78" s="6">
        <v>13.652100000000001</v>
      </c>
      <c r="L78" s="6">
        <v>0.91063799999999995</v>
      </c>
      <c r="M78" s="6">
        <v>3.72941E-13</v>
      </c>
    </row>
    <row r="79" spans="1:13">
      <c r="A79" s="5">
        <v>600</v>
      </c>
      <c r="B79" t="s">
        <v>54</v>
      </c>
      <c r="C79" s="6">
        <v>1.000367936323904E+20</v>
      </c>
      <c r="D79" s="6">
        <v>1.000367936323904E+20</v>
      </c>
      <c r="E79" s="6">
        <v>0.52904899999999999</v>
      </c>
      <c r="F79" s="7">
        <v>254.25800000000001</v>
      </c>
      <c r="G79" s="6">
        <v>1.77179E+18</v>
      </c>
      <c r="H79" s="6">
        <v>19375600000000</v>
      </c>
      <c r="I79" s="6">
        <f t="shared" si="2"/>
        <v>114541139461.98955</v>
      </c>
      <c r="J79" s="6">
        <v>7.9083999999999995E-8</v>
      </c>
      <c r="K79" s="6">
        <v>12.190300000000001</v>
      </c>
      <c r="L79" s="6">
        <v>1.2347600000000001</v>
      </c>
      <c r="M79" s="6">
        <v>3.33007E-13</v>
      </c>
    </row>
    <row r="80" spans="1:13">
      <c r="A80" s="5">
        <v>700</v>
      </c>
      <c r="B80" t="s">
        <v>54</v>
      </c>
      <c r="C80" s="6">
        <v>1.000331340263984E+20</v>
      </c>
      <c r="D80" s="6">
        <v>1.000331340263984E+20</v>
      </c>
      <c r="E80" s="6">
        <v>0.530802</v>
      </c>
      <c r="F80" s="7">
        <v>275.67500000000001</v>
      </c>
      <c r="G80" s="6">
        <v>1.62264E+18</v>
      </c>
      <c r="H80" s="6">
        <v>21672100000000</v>
      </c>
      <c r="I80" s="6">
        <f t="shared" si="2"/>
        <v>123315294415.35001</v>
      </c>
      <c r="J80" s="6">
        <v>7.9978700000000001E-8</v>
      </c>
      <c r="K80" s="6">
        <v>10.952</v>
      </c>
      <c r="L80" s="6">
        <v>1.56948</v>
      </c>
      <c r="M80" s="6">
        <v>2.9918100000000002E-13</v>
      </c>
    </row>
    <row r="81" spans="1:13">
      <c r="A81" s="5">
        <v>800</v>
      </c>
      <c r="B81" t="s">
        <v>54</v>
      </c>
      <c r="C81" s="6">
        <v>1.001518882408373E+20</v>
      </c>
      <c r="D81" s="6">
        <v>1.001518882408373E+20</v>
      </c>
      <c r="E81" s="6">
        <v>0.53276699999999999</v>
      </c>
      <c r="F81" s="7">
        <v>289.65300000000002</v>
      </c>
      <c r="G81" s="6">
        <v>1.49108E+18</v>
      </c>
      <c r="H81" s="6">
        <v>27486700000000</v>
      </c>
      <c r="I81" s="6">
        <f t="shared" si="2"/>
        <v>125099912778.65173</v>
      </c>
      <c r="J81" s="6">
        <v>7.6977399999999997E-8</v>
      </c>
      <c r="K81" s="6">
        <v>9.9162099999999995</v>
      </c>
      <c r="L81" s="6">
        <v>1.89679</v>
      </c>
      <c r="M81" s="6">
        <v>2.7088500000000001E-13</v>
      </c>
    </row>
    <row r="82" spans="1:13">
      <c r="A82" s="5">
        <v>900</v>
      </c>
      <c r="B82" t="s">
        <v>54</v>
      </c>
      <c r="C82" s="6">
        <v>1.000311212431029E+20</v>
      </c>
      <c r="D82" s="6">
        <v>1.000311212431029E+20</v>
      </c>
      <c r="E82" s="6">
        <v>0.53493299999999999</v>
      </c>
      <c r="F82" s="7">
        <v>292.07400000000001</v>
      </c>
      <c r="G82" s="6">
        <v>1.38401E+18</v>
      </c>
      <c r="H82" s="6">
        <v>41296500000000</v>
      </c>
      <c r="I82" s="6">
        <f t="shared" si="2"/>
        <v>118066047594.99878</v>
      </c>
      <c r="J82" s="6">
        <v>6.3425600000000006E-8</v>
      </c>
      <c r="K82" s="6">
        <v>9.0319699999999994</v>
      </c>
      <c r="L82" s="6">
        <v>2.2053600000000002</v>
      </c>
      <c r="M82" s="6">
        <v>2.4673E-13</v>
      </c>
    </row>
    <row r="83" spans="1:13">
      <c r="A83" s="5">
        <v>300</v>
      </c>
      <c r="B83" t="s">
        <v>54</v>
      </c>
      <c r="C83" s="6">
        <v>1.9991146671933732E+20</v>
      </c>
      <c r="D83" s="6">
        <v>1.9991146671933732E+20</v>
      </c>
      <c r="E83" s="6">
        <v>0.52285800000000004</v>
      </c>
      <c r="F83" s="7">
        <v>113.468</v>
      </c>
      <c r="G83" s="6">
        <v>4.15248E+18</v>
      </c>
      <c r="H83" s="6">
        <v>25908700000000</v>
      </c>
      <c r="I83" s="6">
        <f t="shared" si="2"/>
        <v>53463126117.419525</v>
      </c>
      <c r="J83" s="6">
        <v>3.7910799999999997E-8</v>
      </c>
      <c r="K83" s="6">
        <v>26.814599999999999</v>
      </c>
      <c r="L83" s="6">
        <v>0.560612</v>
      </c>
      <c r="M83" s="6">
        <v>7.3250500000000002E-13</v>
      </c>
    </row>
    <row r="84" spans="1:13">
      <c r="A84" s="5">
        <v>400</v>
      </c>
      <c r="B84" t="s">
        <v>54</v>
      </c>
      <c r="C84" s="6">
        <v>2.0008346820095898E+20</v>
      </c>
      <c r="D84" s="6">
        <v>2.0008346820095898E+20</v>
      </c>
      <c r="E84" s="6">
        <v>0.52358199999999999</v>
      </c>
      <c r="F84" s="7">
        <v>148.66</v>
      </c>
      <c r="G84" s="6">
        <v>3.90438E+18</v>
      </c>
      <c r="H84" s="6">
        <v>31261300000000</v>
      </c>
      <c r="I84" s="6">
        <f t="shared" si="2"/>
        <v>86285999944.727997</v>
      </c>
      <c r="J84" s="6">
        <v>3.7072600000000002E-8</v>
      </c>
      <c r="K84" s="6">
        <v>25.208400000000001</v>
      </c>
      <c r="L84" s="6">
        <v>0.867089</v>
      </c>
      <c r="M84" s="6">
        <v>6.8862700000000005E-13</v>
      </c>
    </row>
    <row r="85" spans="1:13">
      <c r="A85" s="5">
        <v>500</v>
      </c>
      <c r="B85" t="s">
        <v>54</v>
      </c>
      <c r="C85" s="6">
        <v>1.999407435672729E+20</v>
      </c>
      <c r="D85" s="6">
        <v>1.999407435672729E+20</v>
      </c>
      <c r="E85" s="6">
        <v>0.524559</v>
      </c>
      <c r="F85" s="7">
        <v>178.126</v>
      </c>
      <c r="G85" s="6">
        <v>3.63775E+18</v>
      </c>
      <c r="H85" s="6">
        <v>34823100000000</v>
      </c>
      <c r="I85" s="6">
        <f t="shared" si="2"/>
        <v>115421703666.91899</v>
      </c>
      <c r="J85" s="6">
        <v>3.7640999999999999E-8</v>
      </c>
      <c r="K85" s="6">
        <v>23.459199999999999</v>
      </c>
      <c r="L85" s="6">
        <v>1.25892</v>
      </c>
      <c r="M85" s="6">
        <v>6.4084300000000004E-13</v>
      </c>
    </row>
    <row r="86" spans="1:13">
      <c r="A86" s="5">
        <v>600</v>
      </c>
      <c r="B86" t="s">
        <v>54</v>
      </c>
      <c r="C86" s="6">
        <v>2.0010542583691071E+20</v>
      </c>
      <c r="D86" s="6">
        <v>2.0010542583691071E+20</v>
      </c>
      <c r="E86" s="6">
        <v>0.52576500000000004</v>
      </c>
      <c r="F86" s="7">
        <v>202.93199999999999</v>
      </c>
      <c r="G86" s="6">
        <v>3.36756E+18</v>
      </c>
      <c r="H86" s="6">
        <v>36855000000000</v>
      </c>
      <c r="I86" s="6">
        <f t="shared" si="2"/>
        <v>138680824015.11743</v>
      </c>
      <c r="J86" s="6">
        <v>3.8887399999999998E-8</v>
      </c>
      <c r="K86" s="6">
        <v>21.727399999999999</v>
      </c>
      <c r="L86" s="6">
        <v>1.71211</v>
      </c>
      <c r="M86" s="6">
        <v>5.9353499999999995E-13</v>
      </c>
    </row>
    <row r="87" spans="1:13">
      <c r="A87" s="5">
        <v>700</v>
      </c>
      <c r="B87" t="s">
        <v>54</v>
      </c>
      <c r="C87" s="6">
        <v>1.9992976474929709E+20</v>
      </c>
      <c r="D87" s="6">
        <v>1.9992976474929709E+20</v>
      </c>
      <c r="E87" s="6">
        <v>0.52719899999999997</v>
      </c>
      <c r="F87" s="7">
        <v>224.203</v>
      </c>
      <c r="G87" s="6">
        <v>3.09401E+18</v>
      </c>
      <c r="H87" s="6">
        <v>38089200000000</v>
      </c>
      <c r="I87" s="6">
        <f t="shared" si="2"/>
        <v>155526554906.49808</v>
      </c>
      <c r="J87" s="6">
        <v>4.0538100000000001E-8</v>
      </c>
      <c r="K87" s="6">
        <v>20.030100000000001</v>
      </c>
      <c r="L87" s="6">
        <v>2.1880099999999998</v>
      </c>
      <c r="M87" s="6">
        <v>5.4716900000000001E-13</v>
      </c>
    </row>
    <row r="88" spans="1:13">
      <c r="A88" s="5">
        <v>800</v>
      </c>
      <c r="B88" t="s">
        <v>54</v>
      </c>
      <c r="C88" s="6">
        <v>2.000304039140757E+20</v>
      </c>
      <c r="D88" s="6">
        <v>2.000304039140757E+20</v>
      </c>
      <c r="E88" s="6">
        <v>0.52882200000000001</v>
      </c>
      <c r="F88" s="7">
        <v>241.721</v>
      </c>
      <c r="G88" s="6">
        <v>2.8388E+18</v>
      </c>
      <c r="H88" s="6">
        <v>40321100000000</v>
      </c>
      <c r="I88" s="6">
        <f t="shared" si="2"/>
        <v>165868363978.2308</v>
      </c>
      <c r="J88" s="6">
        <v>4.1905600000000003E-8</v>
      </c>
      <c r="K88" s="6">
        <v>18.4694</v>
      </c>
      <c r="L88" s="6">
        <v>2.6605300000000001</v>
      </c>
      <c r="M88" s="6">
        <v>5.0453500000000003E-13</v>
      </c>
    </row>
    <row r="89" spans="1:13">
      <c r="A89" s="5">
        <v>900</v>
      </c>
      <c r="B89" t="s">
        <v>54</v>
      </c>
      <c r="C89" s="6">
        <v>1.9997550982419651E+20</v>
      </c>
      <c r="D89" s="6">
        <v>1.9997550982419651E+20</v>
      </c>
      <c r="E89" s="6">
        <v>0.53062399999999998</v>
      </c>
      <c r="F89" s="7">
        <v>254.68100000000001</v>
      </c>
      <c r="G89" s="6">
        <v>2.6077E+18</v>
      </c>
      <c r="H89" s="6">
        <v>46212100000000</v>
      </c>
      <c r="I89" s="6">
        <f t="shared" si="2"/>
        <v>169141711149.15976</v>
      </c>
      <c r="J89" s="6">
        <v>4.2012199999999997E-8</v>
      </c>
      <c r="K89" s="6">
        <v>17.039200000000001</v>
      </c>
      <c r="L89" s="6">
        <v>3.11138</v>
      </c>
      <c r="M89" s="6">
        <v>4.6546499999999998E-13</v>
      </c>
    </row>
    <row r="90" spans="1:13">
      <c r="A90" s="5">
        <v>300</v>
      </c>
      <c r="B90" t="s">
        <v>54</v>
      </c>
      <c r="C90" s="6">
        <v>4.9974115583692577E+20</v>
      </c>
      <c r="D90" s="6">
        <v>4.9974115583692577E+20</v>
      </c>
      <c r="E90" s="6">
        <v>0.51838099999999998</v>
      </c>
      <c r="F90" s="7">
        <v>80.209499999999991</v>
      </c>
      <c r="G90" s="6">
        <v>8.60855E+18</v>
      </c>
      <c r="H90" s="6">
        <v>59007700000000</v>
      </c>
      <c r="I90" s="6">
        <f t="shared" si="2"/>
        <v>55383656427.411613</v>
      </c>
      <c r="J90" s="6">
        <v>1.1288200000000001E-8</v>
      </c>
      <c r="K90" s="6">
        <v>47.942700000000002</v>
      </c>
      <c r="L90" s="6">
        <v>1.02643</v>
      </c>
      <c r="M90" s="6">
        <v>1.30967E-12</v>
      </c>
    </row>
    <row r="91" spans="1:13">
      <c r="A91" s="5">
        <v>400</v>
      </c>
      <c r="B91" t="s">
        <v>54</v>
      </c>
      <c r="C91" s="6">
        <v>4.9978324130583328E+20</v>
      </c>
      <c r="D91" s="6">
        <v>4.9978324130583328E+20</v>
      </c>
      <c r="E91" s="6">
        <v>0.51896699999999996</v>
      </c>
      <c r="F91" s="7">
        <v>103.651</v>
      </c>
      <c r="G91" s="6">
        <v>8.28336E+18</v>
      </c>
      <c r="H91" s="6">
        <v>71428100000000</v>
      </c>
      <c r="I91" s="6">
        <f t="shared" si="2"/>
        <v>88992525012.411362</v>
      </c>
      <c r="J91" s="6">
        <v>1.27905E-8</v>
      </c>
      <c r="K91" s="6">
        <v>47.186300000000003</v>
      </c>
      <c r="L91" s="6">
        <v>1.5202899999999999</v>
      </c>
      <c r="M91" s="6">
        <v>1.28901E-12</v>
      </c>
    </row>
    <row r="92" spans="1:13">
      <c r="A92" s="5">
        <v>500</v>
      </c>
      <c r="B92" t="s">
        <v>54</v>
      </c>
      <c r="C92" s="6">
        <v>5.0016384032899623E+20</v>
      </c>
      <c r="D92" s="6">
        <v>5.0016384032899623E+20</v>
      </c>
      <c r="E92" s="6">
        <v>0.51972700000000005</v>
      </c>
      <c r="F92" s="7">
        <v>124.47799999999999</v>
      </c>
      <c r="G92" s="6">
        <v>7.87427E+18</v>
      </c>
      <c r="H92" s="6">
        <v>79294900000000</v>
      </c>
      <c r="I92" s="6">
        <f t="shared" si="2"/>
        <v>122010022127.58669</v>
      </c>
      <c r="J92" s="6">
        <v>1.39646E-8</v>
      </c>
      <c r="K92" s="6">
        <v>45.976799999999997</v>
      </c>
      <c r="L92" s="6">
        <v>2.10581</v>
      </c>
      <c r="M92" s="6">
        <v>1.2559699999999999E-12</v>
      </c>
    </row>
    <row r="93" spans="1:13">
      <c r="A93" s="5">
        <v>600</v>
      </c>
      <c r="B93" t="s">
        <v>54</v>
      </c>
      <c r="C93" s="6">
        <v>4.9999732825636241E+20</v>
      </c>
      <c r="D93" s="6">
        <v>4.9999732825636241E+20</v>
      </c>
      <c r="E93" s="6">
        <v>0.52066800000000002</v>
      </c>
      <c r="F93" s="7">
        <v>143.529</v>
      </c>
      <c r="G93" s="6">
        <v>7.39158E+18</v>
      </c>
      <c r="H93" s="6">
        <v>83205900000000</v>
      </c>
      <c r="I93" s="6">
        <f t="shared" si="2"/>
        <v>152270789591.65875</v>
      </c>
      <c r="J93" s="6">
        <v>1.5043499999999998E-8</v>
      </c>
      <c r="K93" s="6">
        <v>44.291400000000003</v>
      </c>
      <c r="L93" s="6">
        <v>2.7491099999999999</v>
      </c>
      <c r="M93" s="6">
        <v>1.2099300000000001E-12</v>
      </c>
    </row>
    <row r="94" spans="1:13">
      <c r="A94" s="5">
        <v>700</v>
      </c>
      <c r="B94" t="s">
        <v>54</v>
      </c>
      <c r="C94" s="6">
        <v>4.9975396445789762E+20</v>
      </c>
      <c r="D94" s="6">
        <v>4.9975396445789762E+20</v>
      </c>
      <c r="E94" s="6">
        <v>0.52177499999999999</v>
      </c>
      <c r="F94" s="7">
        <v>160.988</v>
      </c>
      <c r="G94" s="6">
        <v>6.87877E+18</v>
      </c>
      <c r="H94" s="6">
        <v>84255400000000</v>
      </c>
      <c r="I94" s="6">
        <f t="shared" si="2"/>
        <v>178278018593.26291</v>
      </c>
      <c r="J94" s="6">
        <v>1.6112799999999999E-8</v>
      </c>
      <c r="K94" s="6">
        <v>42.2742</v>
      </c>
      <c r="L94" s="6">
        <v>3.4142800000000002</v>
      </c>
      <c r="M94" s="6">
        <v>1.1548199999999999E-12</v>
      </c>
    </row>
    <row r="95" spans="1:13">
      <c r="A95" s="5">
        <v>800</v>
      </c>
      <c r="B95" t="s">
        <v>54</v>
      </c>
      <c r="C95" s="6">
        <v>5.0018396816195191E+20</v>
      </c>
      <c r="D95" s="6">
        <v>5.0018396816195191E+20</v>
      </c>
      <c r="E95" s="6">
        <v>0.52302300000000002</v>
      </c>
      <c r="F95" s="7">
        <v>176.721</v>
      </c>
      <c r="G95" s="6">
        <v>6.37628E+18</v>
      </c>
      <c r="H95" s="6">
        <v>83932100000000</v>
      </c>
      <c r="I95" s="6">
        <f t="shared" si="2"/>
        <v>199133212785.53143</v>
      </c>
      <c r="J95" s="6">
        <v>1.71654E-8</v>
      </c>
      <c r="K95" s="6">
        <v>40.112099999999998</v>
      </c>
      <c r="L95" s="6">
        <v>4.07829</v>
      </c>
      <c r="M95" s="6">
        <v>1.09576E-12</v>
      </c>
    </row>
    <row r="96" spans="1:13">
      <c r="A96" s="5">
        <v>900</v>
      </c>
      <c r="B96" t="s">
        <v>54</v>
      </c>
      <c r="C96" s="6">
        <v>4.9985094401668442E+20</v>
      </c>
      <c r="D96" s="6">
        <v>4.9985094401668442E+20</v>
      </c>
      <c r="E96" s="6">
        <v>0.52441300000000002</v>
      </c>
      <c r="F96" s="7">
        <v>190.733</v>
      </c>
      <c r="G96" s="6">
        <v>5.89108E+18</v>
      </c>
      <c r="H96" s="6">
        <v>83744400000000</v>
      </c>
      <c r="I96" s="6">
        <f t="shared" si="2"/>
        <v>214312054635.68216</v>
      </c>
      <c r="J96" s="6">
        <v>1.8194699999999999E-8</v>
      </c>
      <c r="K96" s="6">
        <v>37.8386</v>
      </c>
      <c r="L96" s="6">
        <v>4.7218900000000001</v>
      </c>
      <c r="M96" s="6">
        <v>1.0336499999999999E-12</v>
      </c>
    </row>
    <row r="97" spans="1:13">
      <c r="A97" s="5">
        <v>300</v>
      </c>
      <c r="B97" t="s">
        <v>54</v>
      </c>
      <c r="C97" s="6">
        <v>9.9956282300567454E+20</v>
      </c>
      <c r="D97" s="6">
        <v>9.9956282300567454E+20</v>
      </c>
      <c r="E97" s="6">
        <v>0.51403900000000002</v>
      </c>
      <c r="F97" s="7">
        <v>60.915799999999997</v>
      </c>
      <c r="G97" s="6">
        <v>1.44868E+19</v>
      </c>
      <c r="H97" s="6">
        <v>98357400000000</v>
      </c>
      <c r="I97" s="6">
        <f t="shared" si="2"/>
        <v>53756671301.876747</v>
      </c>
      <c r="J97" s="6">
        <v>6.5604099999999997E-9</v>
      </c>
      <c r="K97" s="6">
        <v>80.036699999999996</v>
      </c>
      <c r="L97" s="6">
        <v>1.6487799999999999</v>
      </c>
      <c r="M97" s="6">
        <v>2.1863899999999999E-12</v>
      </c>
    </row>
    <row r="98" spans="1:13">
      <c r="A98" s="5">
        <v>400</v>
      </c>
      <c r="B98" t="s">
        <v>54</v>
      </c>
      <c r="C98" s="6">
        <v>9.9998184789175304E+20</v>
      </c>
      <c r="D98" s="6">
        <v>9.9998184789175304E+20</v>
      </c>
      <c r="E98" s="6">
        <v>0.51456000000000002</v>
      </c>
      <c r="F98" s="7">
        <v>75.761399999999995</v>
      </c>
      <c r="G98" s="6">
        <v>1.39851E+19</v>
      </c>
      <c r="H98" s="6">
        <v>120105000000000</v>
      </c>
      <c r="I98" s="6">
        <f t="shared" si="2"/>
        <v>80271533352.463577</v>
      </c>
      <c r="J98" s="6">
        <v>6.9141200000000001E-9</v>
      </c>
      <c r="K98" s="6">
        <v>79.026300000000006</v>
      </c>
      <c r="L98" s="6">
        <v>2.3953000000000002</v>
      </c>
      <c r="M98" s="6">
        <v>2.1587899999999999E-12</v>
      </c>
    </row>
    <row r="99" spans="1:13">
      <c r="A99" s="5">
        <v>500</v>
      </c>
      <c r="B99" t="s">
        <v>54</v>
      </c>
      <c r="C99" s="6">
        <v>1.000722918105123E+21</v>
      </c>
      <c r="D99" s="6">
        <v>1.000722918105123E+21</v>
      </c>
      <c r="E99" s="6">
        <v>0.51522199999999996</v>
      </c>
      <c r="F99" s="7">
        <v>90.650900000000007</v>
      </c>
      <c r="G99" s="6">
        <v>1.33428E+19</v>
      </c>
      <c r="H99" s="6">
        <v>134608000000000</v>
      </c>
      <c r="I99" s="6">
        <f t="shared" si="2"/>
        <v>109645602088.48367</v>
      </c>
      <c r="J99" s="6">
        <v>7.3227500000000002E-9</v>
      </c>
      <c r="K99" s="6">
        <v>77.578500000000005</v>
      </c>
      <c r="L99" s="6">
        <v>3.2017000000000002</v>
      </c>
      <c r="M99" s="6">
        <v>2.1192400000000002E-12</v>
      </c>
    </row>
    <row r="100" spans="1:13">
      <c r="A100" s="5">
        <v>600</v>
      </c>
      <c r="B100" t="s">
        <v>54</v>
      </c>
      <c r="C100" s="6">
        <v>1.000289254795077E+21</v>
      </c>
      <c r="D100" s="6">
        <v>1.000289254795077E+21</v>
      </c>
      <c r="E100" s="6">
        <v>0.51602599999999998</v>
      </c>
      <c r="F100" s="7">
        <v>105.18</v>
      </c>
      <c r="G100" s="6">
        <v>1.2607E+19</v>
      </c>
      <c r="H100" s="6">
        <v>142425000000000</v>
      </c>
      <c r="I100" s="6">
        <f t="shared" si="2"/>
        <v>139469128066.80002</v>
      </c>
      <c r="J100" s="6">
        <v>7.7983700000000002E-9</v>
      </c>
      <c r="K100" s="6">
        <v>75.540199999999999</v>
      </c>
      <c r="L100" s="6">
        <v>4.0071000000000003</v>
      </c>
      <c r="M100" s="6">
        <v>2.0635600000000001E-12</v>
      </c>
    </row>
    <row r="101" spans="1:13">
      <c r="A101" s="5">
        <v>700</v>
      </c>
      <c r="B101" t="s">
        <v>54</v>
      </c>
      <c r="C101" s="6">
        <v>9.9992329419588174E+20</v>
      </c>
      <c r="D101" s="6">
        <v>9.9992329419588174E+20</v>
      </c>
      <c r="E101" s="6">
        <v>0.51695000000000002</v>
      </c>
      <c r="F101" s="7">
        <v>119.03700000000001</v>
      </c>
      <c r="G101" s="6">
        <v>1.18381E+19</v>
      </c>
      <c r="H101" s="6">
        <v>145201000000000</v>
      </c>
      <c r="I101" s="6">
        <f t="shared" si="2"/>
        <v>167743596614.95889</v>
      </c>
      <c r="J101" s="6">
        <v>8.3297099999999994E-9</v>
      </c>
      <c r="K101" s="6">
        <v>73.013999999999996</v>
      </c>
      <c r="L101" s="6">
        <v>4.7892599999999996</v>
      </c>
      <c r="M101" s="6">
        <v>1.9945499999999998E-12</v>
      </c>
    </row>
    <row r="102" spans="1:13">
      <c r="A102" s="5">
        <v>800</v>
      </c>
      <c r="B102" t="s">
        <v>54</v>
      </c>
      <c r="C102" s="6">
        <v>9.997494629112641E+20</v>
      </c>
      <c r="D102" s="6">
        <v>9.997494629112641E+20</v>
      </c>
      <c r="E102" s="6">
        <v>0.51797899999999997</v>
      </c>
      <c r="F102" s="7">
        <v>132.03</v>
      </c>
      <c r="G102" s="6">
        <v>1.10739E+19</v>
      </c>
      <c r="H102" s="6">
        <v>144613000000000</v>
      </c>
      <c r="I102" s="6">
        <f t="shared" si="2"/>
        <v>193039348854.51001</v>
      </c>
      <c r="J102" s="6">
        <v>8.9032800000000003E-9</v>
      </c>
      <c r="K102" s="6">
        <v>70.126800000000003</v>
      </c>
      <c r="L102" s="6">
        <v>5.5464900000000004</v>
      </c>
      <c r="M102" s="6">
        <v>1.9156800000000002E-12</v>
      </c>
    </row>
    <row r="103" spans="1:13">
      <c r="A103" s="5">
        <v>900</v>
      </c>
      <c r="B103" t="s">
        <v>54</v>
      </c>
      <c r="C103" s="6">
        <v>9.9975495232025199E+20</v>
      </c>
      <c r="D103" s="6">
        <v>9.9975495232025199E+20</v>
      </c>
      <c r="E103" s="6">
        <v>0.51910299999999998</v>
      </c>
      <c r="F103" s="7">
        <v>143.99799999999999</v>
      </c>
      <c r="G103" s="6">
        <v>1.03396E+19</v>
      </c>
      <c r="H103" s="6">
        <v>142285000000000</v>
      </c>
      <c r="I103" s="6">
        <f t="shared" si="2"/>
        <v>214395990031.75839</v>
      </c>
      <c r="J103" s="6">
        <v>9.5005700000000004E-9</v>
      </c>
      <c r="K103" s="6">
        <v>67.0304</v>
      </c>
      <c r="L103" s="6">
        <v>6.2841199999999997</v>
      </c>
      <c r="M103" s="6">
        <v>1.83109E-12</v>
      </c>
    </row>
  </sheetData>
  <autoFilter ref="A5:M103" xr:uid="{00000000-0009-0000-0000-000002000000}"/>
  <mergeCells count="2">
    <mergeCell ref="A2:M3"/>
    <mergeCell ref="A1:M1"/>
  </mergeCells>
  <phoneticPr fontId="7" type="noConversion"/>
  <pageMargins left="0.75" right="0.75" top="1" bottom="1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9"/>
  <sheetViews>
    <sheetView showGridLines="0" workbookViewId="0">
      <pane ySplit="5" topLeftCell="A6" activePane="bottomLeft" state="frozen"/>
      <selection pane="bottomLeft" activeCell="E42" sqref="E42"/>
    </sheetView>
  </sheetViews>
  <sheetFormatPr baseColWidth="10" defaultColWidth="8.83203125" defaultRowHeight="14"/>
  <cols>
    <col min="1" max="1" width="17" customWidth="1"/>
    <col min="2" max="2" width="10" customWidth="1"/>
    <col min="3" max="3" width="21" customWidth="1"/>
    <col min="4" max="4" width="14" customWidth="1"/>
    <col min="5" max="5" width="18" customWidth="1"/>
    <col min="6" max="6" width="20" customWidth="1"/>
    <col min="7" max="7" width="29" customWidth="1"/>
    <col min="10" max="10" width="17" customWidth="1"/>
    <col min="11" max="12" width="19" customWidth="1"/>
  </cols>
  <sheetData>
    <row r="1" spans="1:8" ht="30" customHeight="1">
      <c r="A1" s="13" t="s">
        <v>55</v>
      </c>
      <c r="B1" s="12"/>
      <c r="C1" s="12"/>
      <c r="D1" s="12"/>
      <c r="E1" s="12"/>
      <c r="F1" s="12"/>
      <c r="G1" s="12"/>
      <c r="H1" s="12"/>
    </row>
    <row r="2" spans="1:8">
      <c r="A2" s="18" t="s">
        <v>56</v>
      </c>
      <c r="B2" s="12"/>
      <c r="C2" s="12"/>
      <c r="D2" s="12"/>
      <c r="E2" s="12"/>
      <c r="F2" s="12"/>
      <c r="G2" s="12"/>
      <c r="H2" s="12"/>
    </row>
    <row r="3" spans="1:8">
      <c r="A3" s="12"/>
      <c r="B3" s="12"/>
      <c r="C3" s="12"/>
      <c r="D3" s="12"/>
      <c r="E3" s="12"/>
      <c r="F3" s="12"/>
      <c r="G3" s="12"/>
      <c r="H3" s="12"/>
    </row>
    <row r="5" spans="1:8" ht="15">
      <c r="A5" s="1" t="s">
        <v>40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48</v>
      </c>
    </row>
    <row r="6" spans="1:8">
      <c r="A6">
        <v>300</v>
      </c>
      <c r="B6" t="s">
        <v>53</v>
      </c>
      <c r="C6" s="8">
        <v>4.9995158318146303E+20</v>
      </c>
      <c r="D6" s="7">
        <v>-27.4771</v>
      </c>
      <c r="E6" s="6">
        <v>1.76199E+19</v>
      </c>
      <c r="F6" s="6">
        <v>135717000000000</v>
      </c>
      <c r="G6" s="6">
        <f t="shared" ref="G6:G19" si="0">(D6/1000000)^2*E6</f>
        <v>13302866351.00176</v>
      </c>
    </row>
    <row r="7" spans="1:8">
      <c r="A7">
        <v>300</v>
      </c>
      <c r="B7" t="s">
        <v>54</v>
      </c>
      <c r="C7" s="8">
        <v>1.0000001459217129E+20</v>
      </c>
      <c r="D7" s="7">
        <v>157.16499999999999</v>
      </c>
      <c r="E7" s="6">
        <v>2.25187E+18</v>
      </c>
      <c r="F7" s="6">
        <v>12593200000000</v>
      </c>
      <c r="G7" s="6">
        <f t="shared" si="0"/>
        <v>55623074321.860741</v>
      </c>
    </row>
    <row r="8" spans="1:8">
      <c r="A8">
        <v>400</v>
      </c>
      <c r="B8" t="s">
        <v>53</v>
      </c>
      <c r="C8" s="8">
        <v>1.00036061711192E+19</v>
      </c>
      <c r="D8" s="7">
        <v>-104.145</v>
      </c>
      <c r="E8" s="6">
        <v>1.63826E+18</v>
      </c>
      <c r="F8" s="6">
        <v>13825800000000</v>
      </c>
      <c r="G8" s="6">
        <f t="shared" si="0"/>
        <v>17768864526.016499</v>
      </c>
    </row>
    <row r="9" spans="1:8">
      <c r="A9">
        <v>400</v>
      </c>
      <c r="B9" t="s">
        <v>54</v>
      </c>
      <c r="C9" s="8">
        <v>4.9978324130583328E+20</v>
      </c>
      <c r="D9" s="7">
        <v>103.651</v>
      </c>
      <c r="E9" s="6">
        <v>8.28336E+18</v>
      </c>
      <c r="F9" s="6">
        <v>71428100000000</v>
      </c>
      <c r="G9" s="6">
        <f t="shared" si="0"/>
        <v>88992525012.411362</v>
      </c>
    </row>
    <row r="10" spans="1:8">
      <c r="A10">
        <v>500</v>
      </c>
      <c r="B10" t="s">
        <v>53</v>
      </c>
      <c r="C10" s="8">
        <v>1.0001227427224431E+19</v>
      </c>
      <c r="D10" s="7">
        <v>-126.77</v>
      </c>
      <c r="E10" s="6">
        <v>1.57118E+18</v>
      </c>
      <c r="F10" s="6">
        <v>16377900000000</v>
      </c>
      <c r="G10" s="6">
        <f t="shared" si="0"/>
        <v>25249856999.822002</v>
      </c>
    </row>
    <row r="11" spans="1:8">
      <c r="A11">
        <v>500</v>
      </c>
      <c r="B11" t="s">
        <v>54</v>
      </c>
      <c r="C11" s="8">
        <v>5.0016384032899623E+20</v>
      </c>
      <c r="D11" s="7">
        <v>124.47799999999999</v>
      </c>
      <c r="E11" s="6">
        <v>7.87427E+18</v>
      </c>
      <c r="F11" s="6">
        <v>79294900000000</v>
      </c>
      <c r="G11" s="6">
        <f t="shared" si="0"/>
        <v>122010022127.58669</v>
      </c>
    </row>
    <row r="12" spans="1:8">
      <c r="A12">
        <v>600</v>
      </c>
      <c r="B12" t="s">
        <v>53</v>
      </c>
      <c r="C12" s="8">
        <v>1.9993159455229301E+19</v>
      </c>
      <c r="D12" s="7">
        <v>-112.011</v>
      </c>
      <c r="E12" s="6">
        <v>2.66323E+18</v>
      </c>
      <c r="F12" s="6">
        <v>34060500000000</v>
      </c>
      <c r="G12" s="6">
        <f t="shared" si="0"/>
        <v>33414119640.970829</v>
      </c>
    </row>
    <row r="13" spans="1:8">
      <c r="A13">
        <v>600</v>
      </c>
      <c r="B13" t="s">
        <v>54</v>
      </c>
      <c r="C13" s="8">
        <v>4.9999732825636241E+20</v>
      </c>
      <c r="D13" s="7">
        <v>143.529</v>
      </c>
      <c r="E13" s="6">
        <v>7.39158E+18</v>
      </c>
      <c r="F13" s="6">
        <v>83205900000000</v>
      </c>
      <c r="G13" s="6">
        <f t="shared" si="0"/>
        <v>152270789591.65875</v>
      </c>
    </row>
    <row r="14" spans="1:8">
      <c r="A14">
        <v>700</v>
      </c>
      <c r="B14" t="s">
        <v>53</v>
      </c>
      <c r="C14" s="8">
        <v>1.99937083961281E+19</v>
      </c>
      <c r="D14" s="7">
        <v>-128.16499999999999</v>
      </c>
      <c r="E14" s="6">
        <v>2.56479E+18</v>
      </c>
      <c r="F14" s="6">
        <v>37579900000000</v>
      </c>
      <c r="G14" s="6">
        <f t="shared" si="0"/>
        <v>42129925916.007744</v>
      </c>
    </row>
    <row r="15" spans="1:8">
      <c r="A15">
        <v>700</v>
      </c>
      <c r="B15" t="s">
        <v>54</v>
      </c>
      <c r="C15" s="8">
        <v>4.9975396445789762E+20</v>
      </c>
      <c r="D15" s="7">
        <v>160.988</v>
      </c>
      <c r="E15" s="6">
        <v>6.87877E+18</v>
      </c>
      <c r="F15" s="6">
        <v>84255400000000</v>
      </c>
      <c r="G15" s="6">
        <f t="shared" si="0"/>
        <v>178278018593.26291</v>
      </c>
    </row>
    <row r="16" spans="1:8">
      <c r="A16">
        <v>800</v>
      </c>
      <c r="B16" t="s">
        <v>53</v>
      </c>
      <c r="C16" s="8">
        <v>2.0001942509609988E+19</v>
      </c>
      <c r="D16" s="7">
        <v>-142.809</v>
      </c>
      <c r="E16" s="6">
        <v>2.4578E+18</v>
      </c>
      <c r="F16" s="6">
        <v>41905300000000</v>
      </c>
      <c r="G16" s="6">
        <f t="shared" si="0"/>
        <v>50125382080.201805</v>
      </c>
    </row>
    <row r="17" spans="1:12">
      <c r="A17">
        <v>800</v>
      </c>
      <c r="B17" t="s">
        <v>54</v>
      </c>
      <c r="C17" s="8">
        <v>5.0018396816195191E+20</v>
      </c>
      <c r="D17" s="7">
        <v>176.721</v>
      </c>
      <c r="E17" s="6">
        <v>6.37628E+18</v>
      </c>
      <c r="F17" s="6">
        <v>83932100000000</v>
      </c>
      <c r="G17" s="6">
        <f t="shared" si="0"/>
        <v>199133212785.53143</v>
      </c>
    </row>
    <row r="18" spans="1:12">
      <c r="A18">
        <v>900</v>
      </c>
      <c r="B18" t="s">
        <v>53</v>
      </c>
      <c r="C18" s="8">
        <v>4.9992230633352741E+19</v>
      </c>
      <c r="D18" s="7">
        <v>-112.081</v>
      </c>
      <c r="E18" s="6">
        <v>4.61243E+18</v>
      </c>
      <c r="F18" s="6">
        <v>85105200000000</v>
      </c>
      <c r="G18" s="6">
        <f t="shared" si="0"/>
        <v>57942040112.073227</v>
      </c>
    </row>
    <row r="19" spans="1:12">
      <c r="A19">
        <v>900</v>
      </c>
      <c r="B19" t="s">
        <v>54</v>
      </c>
      <c r="C19" s="8">
        <v>9.9975495232025199E+20</v>
      </c>
      <c r="D19" s="7">
        <v>143.99799999999999</v>
      </c>
      <c r="E19" s="6">
        <v>1.03396E+19</v>
      </c>
      <c r="F19" s="6">
        <v>142285000000000</v>
      </c>
      <c r="G19" s="6">
        <f t="shared" si="0"/>
        <v>214395990031.75839</v>
      </c>
    </row>
    <row r="22" spans="1:12" ht="15">
      <c r="J22" s="1" t="s">
        <v>40</v>
      </c>
      <c r="K22" s="1" t="s">
        <v>62</v>
      </c>
      <c r="L22" s="1" t="s">
        <v>63</v>
      </c>
    </row>
    <row r="23" spans="1:12">
      <c r="J23">
        <v>300</v>
      </c>
      <c r="K23" s="6">
        <v>13302866351.00176</v>
      </c>
      <c r="L23" s="6">
        <v>55623074321.860741</v>
      </c>
    </row>
    <row r="24" spans="1:12">
      <c r="J24">
        <v>400</v>
      </c>
      <c r="K24" s="6">
        <v>17768864526.016499</v>
      </c>
      <c r="L24" s="6">
        <v>88992525012.411362</v>
      </c>
    </row>
    <row r="25" spans="1:12">
      <c r="J25">
        <v>500</v>
      </c>
      <c r="K25" s="6">
        <v>25249856999.821999</v>
      </c>
      <c r="L25" s="6">
        <v>122010022127.5867</v>
      </c>
    </row>
    <row r="26" spans="1:12">
      <c r="J26">
        <v>600</v>
      </c>
      <c r="K26" s="6">
        <v>33414119640.970829</v>
      </c>
      <c r="L26" s="6">
        <v>152270789591.65881</v>
      </c>
    </row>
    <row r="27" spans="1:12">
      <c r="J27">
        <v>700</v>
      </c>
      <c r="K27" s="6">
        <v>42129925916.007736</v>
      </c>
      <c r="L27" s="6">
        <v>178278018593.26291</v>
      </c>
    </row>
    <row r="28" spans="1:12">
      <c r="J28">
        <v>800</v>
      </c>
      <c r="K28" s="6">
        <v>50125382080.201813</v>
      </c>
      <c r="L28" s="6">
        <v>199133212785.5314</v>
      </c>
    </row>
    <row r="29" spans="1:12">
      <c r="J29">
        <v>900</v>
      </c>
      <c r="K29" s="6">
        <v>57942040112.073227</v>
      </c>
      <c r="L29" s="6">
        <v>214395990031.75839</v>
      </c>
    </row>
  </sheetData>
  <mergeCells count="2">
    <mergeCell ref="A2:H3"/>
    <mergeCell ref="A1:H1"/>
  </mergeCells>
  <phoneticPr fontId="7" type="noConversion"/>
  <conditionalFormatting sqref="G6:G19">
    <cfRule type="cellIs" dxfId="0" priority="1" operator="greaterThan">
      <formula>100000000000</formula>
    </cfRule>
  </conditionalFormatting>
  <pageMargins left="0.75" right="0.75" top="1" bottom="1" header="0.5" footer="0.5"/>
  <pageSetup fitToHeight="0" orientation="portrait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8"/>
  <sheetViews>
    <sheetView showGridLines="0" zoomScale="178" workbookViewId="0">
      <pane ySplit="3" topLeftCell="A4" activePane="bottomLeft" state="frozen"/>
      <selection pane="bottomLeft" activeCell="F18" sqref="F18"/>
    </sheetView>
  </sheetViews>
  <sheetFormatPr baseColWidth="10" defaultColWidth="8.83203125" defaultRowHeight="14"/>
  <cols>
    <col min="1" max="1" width="17" customWidth="1"/>
    <col min="2" max="2" width="18" customWidth="1"/>
    <col min="3" max="3" width="23" customWidth="1"/>
    <col min="4" max="5" width="30" customWidth="1"/>
  </cols>
  <sheetData>
    <row r="1" spans="1:14" ht="30" customHeight="1">
      <c r="A1" s="13" t="s">
        <v>64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spans="1:14" ht="15">
      <c r="A3" s="16" t="s">
        <v>65</v>
      </c>
      <c r="B3" s="12"/>
      <c r="C3" s="12"/>
      <c r="D3" s="12"/>
      <c r="E3" s="12"/>
    </row>
    <row r="4" spans="1:14" ht="15">
      <c r="A4" s="1" t="s">
        <v>66</v>
      </c>
      <c r="B4" s="1" t="s">
        <v>67</v>
      </c>
      <c r="C4" s="1" t="s">
        <v>68</v>
      </c>
      <c r="D4" s="1" t="s">
        <v>69</v>
      </c>
      <c r="E4" s="1" t="s">
        <v>70</v>
      </c>
    </row>
    <row r="5" spans="1:14">
      <c r="A5">
        <v>50</v>
      </c>
      <c r="B5">
        <v>400</v>
      </c>
      <c r="C5" s="9">
        <v>-2269.2875154799999</v>
      </c>
      <c r="D5" s="10">
        <v>6.8445763562508581</v>
      </c>
      <c r="E5" s="10">
        <v>-0.08</v>
      </c>
    </row>
    <row r="6" spans="1:14">
      <c r="A6">
        <v>60</v>
      </c>
      <c r="B6">
        <v>480</v>
      </c>
      <c r="C6" s="9">
        <v>-2269.29501987</v>
      </c>
      <c r="D6" s="10">
        <v>2.5903085472123619</v>
      </c>
      <c r="E6" s="10">
        <v>2.37</v>
      </c>
    </row>
    <row r="7" spans="1:14">
      <c r="A7">
        <v>70</v>
      </c>
      <c r="B7">
        <v>560</v>
      </c>
      <c r="C7" s="9">
        <v>-2269.2960208600002</v>
      </c>
      <c r="D7" s="10">
        <v>2.0228434321367241</v>
      </c>
      <c r="E7" s="10">
        <v>1.94</v>
      </c>
    </row>
    <row r="8" spans="1:14">
      <c r="A8">
        <v>80</v>
      </c>
      <c r="B8">
        <v>640</v>
      </c>
      <c r="C8" s="9">
        <v>-2269.2985803500001</v>
      </c>
      <c r="D8" s="10">
        <v>0.5718586200871757</v>
      </c>
      <c r="E8" s="10">
        <v>2.0499999999999998</v>
      </c>
    </row>
    <row r="9" spans="1:14">
      <c r="A9">
        <v>90</v>
      </c>
      <c r="B9">
        <v>720</v>
      </c>
      <c r="C9" s="9">
        <v>-2269.2994049200001</v>
      </c>
      <c r="D9" s="10">
        <v>0.1044066876090171</v>
      </c>
      <c r="E9" s="10">
        <v>2.36</v>
      </c>
    </row>
    <row r="10" spans="1:14">
      <c r="A10">
        <v>100</v>
      </c>
      <c r="B10">
        <v>800</v>
      </c>
      <c r="C10" s="9">
        <v>-2269.2995890900002</v>
      </c>
      <c r="D10" s="10">
        <v>0</v>
      </c>
      <c r="E10" s="10">
        <v>2.3199999999999998</v>
      </c>
    </row>
    <row r="13" spans="1:14" ht="15">
      <c r="A13" s="16" t="s">
        <v>71</v>
      </c>
      <c r="B13" s="12"/>
      <c r="C13" s="12"/>
      <c r="D13" s="12"/>
      <c r="E13" s="12"/>
    </row>
    <row r="14" spans="1:14" ht="15">
      <c r="A14" s="1" t="s">
        <v>72</v>
      </c>
      <c r="B14" s="1" t="s">
        <v>73</v>
      </c>
      <c r="C14" s="1" t="s">
        <v>74</v>
      </c>
      <c r="D14" s="1" t="s">
        <v>68</v>
      </c>
      <c r="E14" s="1" t="s">
        <v>75</v>
      </c>
    </row>
    <row r="15" spans="1:14">
      <c r="A15" t="s">
        <v>76</v>
      </c>
      <c r="B15">
        <v>4</v>
      </c>
      <c r="C15">
        <v>2</v>
      </c>
      <c r="D15" s="9">
        <v>-2269.2948695099999</v>
      </c>
      <c r="E15" s="10">
        <v>3.4062703088856781</v>
      </c>
    </row>
    <row r="16" spans="1:14">
      <c r="A16" t="s">
        <v>77</v>
      </c>
      <c r="B16">
        <v>18</v>
      </c>
      <c r="C16">
        <v>6</v>
      </c>
      <c r="D16" s="9">
        <v>-2269.2989643599999</v>
      </c>
      <c r="E16" s="10">
        <v>1.0848839553561</v>
      </c>
    </row>
    <row r="17" spans="1:5">
      <c r="A17" t="s">
        <v>78</v>
      </c>
      <c r="B17">
        <v>32</v>
      </c>
      <c r="C17">
        <v>8</v>
      </c>
      <c r="D17" s="9">
        <v>-2269.3004314999998</v>
      </c>
      <c r="E17" s="10">
        <v>0.25315659670868851</v>
      </c>
    </row>
    <row r="18" spans="1:5">
      <c r="A18" t="s">
        <v>79</v>
      </c>
      <c r="B18">
        <v>75</v>
      </c>
      <c r="C18">
        <v>12</v>
      </c>
      <c r="D18" s="9">
        <v>-2269.3008780599998</v>
      </c>
      <c r="E18" s="10">
        <v>0</v>
      </c>
    </row>
  </sheetData>
  <mergeCells count="3">
    <mergeCell ref="A3:E3"/>
    <mergeCell ref="A13:E13"/>
    <mergeCell ref="A1:N1"/>
  </mergeCells>
  <phoneticPr fontId="7" type="noConversion"/>
  <pageMargins left="0.75" right="0.75" top="1" bottom="1" header="0.5" footer="0.5"/>
  <pageSetup fitToHeight="0" orientation="portrait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Charts</vt:lpstr>
      <vt:lpstr>Notes</vt:lpstr>
      <vt:lpstr>Transport_Data</vt:lpstr>
      <vt:lpstr>PF_over_tau</vt:lpstr>
      <vt:lpstr>Convergence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My SrCu2SnS4 calculation results</dc:title>
  <dc:subject>QE and BoltzTraP2 calculation notes and data</dc:subject>
  <dc:creator>Yuhan</dc:creator>
  <cp:keywords>SrCu2SnS4, Quantum ESPRESSO, BoltzTraP2</cp:keywords>
  <dc:description>My first-pass calculation notes and data</dc:description>
  <cp:lastModifiedBy>Yuhan Sun</cp:lastModifiedBy>
  <dcterms:created xsi:type="dcterms:W3CDTF">2026-06-30T15:10:14Z</dcterms:created>
  <dcterms:modified xsi:type="dcterms:W3CDTF">2026-06-30T15:18:21Z</dcterms:modified>
</cp:coreProperties>
</file>